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labmentix internship\BIke dekho project -1\"/>
    </mc:Choice>
  </mc:AlternateContent>
  <bookViews>
    <workbookView xWindow="-120" yWindow="-120" windowWidth="24240" windowHeight="13020" activeTab="4"/>
  </bookViews>
  <sheets>
    <sheet name="bike_buyers" sheetId="1" r:id="rId1"/>
    <sheet name="Working Sheet" sheetId="5" r:id="rId2"/>
    <sheet name="Metrics" sheetId="6" r:id="rId3"/>
    <sheet name="pivot tables " sheetId="8" r:id="rId4"/>
    <sheet name="Dashboard" sheetId="9" r:id="rId5"/>
  </sheets>
  <definedNames>
    <definedName name="_xlnm._FilterDatabase" localSheetId="0" hidden="1">bike_buyers!$A$1:$M$1001</definedName>
    <definedName name="_xlnm._FilterDatabase" localSheetId="1" hidden="1">'Working Sheet'!$A$1:$N$1027</definedName>
    <definedName name="_xlcn.WorksheetConnection_1.DataCleaning_backup.xlsxtblbuyers1" hidden="1">tblbuyers[]</definedName>
    <definedName name="_xlcn.WorksheetConnection_WorkingSheetCC1" hidden="1">'Working Sheet'!$C:$C</definedName>
    <definedName name="Slicer_Age_group">#N/A</definedName>
    <definedName name="Slicer_Gender">#N/A</definedName>
    <definedName name="Slicer_Income_group">#N/A</definedName>
    <definedName name="Slicer_Region">#N/A</definedName>
  </definedNames>
  <calcPr calcId="162913"/>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C:$C"/>
          <x15:modelTable id="tblbuyers" name="tblbuyers" connection="WorksheetConnection_1. Data Cleaning_backup.xlsx!tblbuy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 l="1"/>
  <c r="B9" i="6" l="1"/>
  <c r="B7" i="6"/>
  <c r="O6" i="5" l="1"/>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O2" i="5"/>
  <c r="O3" i="5"/>
  <c r="O4" i="5"/>
  <c r="O5"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B5" i="6" l="1"/>
  <c r="B3" i="6"/>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1. Data Cleaning_backup.xlsx!tblbuyers" type="102" refreshedVersion="6" minRefreshableVersion="5">
    <extLst>
      <ext xmlns:x15="http://schemas.microsoft.com/office/spreadsheetml/2010/11/main" uri="{DE250136-89BD-433C-8126-D09CA5730AF9}">
        <x15:connection id="tblbuyers">
          <x15:rangePr sourceName="_xlcn.WorksheetConnection_1.DataCleaning_backup.xlsxtblbuyers1"/>
        </x15:connection>
      </ext>
    </extLst>
  </connection>
  <connection id="3" name="WorksheetConnection_Working Sheet!$C:$C" type="102" refreshedVersion="6" minRefreshableVersion="5">
    <extLst>
      <ext xmlns:x15="http://schemas.microsoft.com/office/spreadsheetml/2010/11/main" uri="{DE250136-89BD-433C-8126-D09CA5730AF9}">
        <x15:connection id="Range" autoDelete="1">
          <x15:rangePr sourceName="_xlcn.WorksheetConnection_WorkingSheetCC1"/>
        </x15:connection>
      </ext>
    </extLst>
  </connection>
</connections>
</file>

<file path=xl/sharedStrings.xml><?xml version="1.0" encoding="utf-8"?>
<sst xmlns="http://schemas.openxmlformats.org/spreadsheetml/2006/main" count="16079" uniqueCount="62">
  <si>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</si>
  <si>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</si>
  <si>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</si>
  <si>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</si>
  <si>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</si>
  <si>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</si>
  <si>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</si>
  <si>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</si>
  <si>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</si>
  <si>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</si>
  <si>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</si>
  <si>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</si>
  <si>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</si>
  <si>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</si>
  <si>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</si>
  <si>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</si>
  <si>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</si>
  <si>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</si>
  <si>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</si>
  <si>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</si>
  <si>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</si>
  <si>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</si>
  <si>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</si>
  <si>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</si>
  <si>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</si>
  <si>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</si>
  <si>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</si>
  <si>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</si>
  <si>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</si>
  <si>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</si>
  <si>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</si>
  <si>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</si>
  <si>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</si>
  <si>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</si>
  <si>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</si>
  <si>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</si>
  <si>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</si>
  <si>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</si>
  <si>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</si>
  <si>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</si>
  <si>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</si>
  <si>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 xml:space="preserve"> Marital Status</t>
  </si>
  <si>
    <t>Column2</t>
  </si>
  <si>
    <t>Age group</t>
  </si>
  <si>
    <t>Income group</t>
  </si>
  <si>
    <t>Flag purchased</t>
  </si>
  <si>
    <t>Row Labels</t>
  </si>
  <si>
    <t>Grand Total</t>
  </si>
  <si>
    <t>Total customers</t>
  </si>
  <si>
    <t>Total buyers</t>
  </si>
  <si>
    <t>Conversion rate</t>
  </si>
  <si>
    <t>Avg income</t>
  </si>
  <si>
    <t>Avg age</t>
  </si>
  <si>
    <t>Column Labels</t>
  </si>
  <si>
    <t>Count of Flag purchased</t>
  </si>
  <si>
    <t>&lt;30</t>
  </si>
  <si>
    <t>30-45</t>
  </si>
  <si>
    <t>46-60</t>
  </si>
  <si>
    <t>60+</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</si>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</sst>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1"/>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16" fillId="0" borderId="0" xfId="0" applyFont="1"/>
    <xf numFmtId="165" fontId="16" fillId="0" borderId="0" xfId="0" applyNumberFormat="1" applyFont="1"/>
    <xf numFmtId="0" fontId="19" fillId="0" borderId="0" xfId="0" applyFon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165" formatCode="&quot;$&quot;#,##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4C216D"/>
      <color rgb="FFCFAFE7"/>
      <color rgb="FF057570"/>
      <color rgb="FF10F4E9"/>
      <color rgb="FF86F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Data Cleaning_backup.xlsx]pivot tables !PivotTable6</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 '!$B$1:$B$2</c:f>
              <c:strCache>
                <c:ptCount val="1"/>
                <c:pt idx="0">
                  <c:v>Female</c:v>
                </c:pt>
              </c:strCache>
            </c:strRef>
          </c:tx>
          <c:spPr>
            <a:solidFill>
              <a:schemeClr val="accent1"/>
            </a:solidFill>
            <a:ln>
              <a:noFill/>
            </a:ln>
            <a:effectLst/>
          </c:spPr>
          <c:invertIfNegative val="0"/>
          <c:cat>
            <c:strRef>
              <c:f>'pivot tables '!$A$3:$A$6</c:f>
              <c:strCache>
                <c:ptCount val="3"/>
                <c:pt idx="0">
                  <c:v>Europe</c:v>
                </c:pt>
                <c:pt idx="1">
                  <c:v>North America</c:v>
                </c:pt>
                <c:pt idx="2">
                  <c:v>Pacific</c:v>
                </c:pt>
              </c:strCache>
            </c:strRef>
          </c:cat>
          <c:val>
            <c:numRef>
              <c:f>'pivot tables '!$B$3:$B$6</c:f>
              <c:numCache>
                <c:formatCode>General</c:formatCode>
                <c:ptCount val="3"/>
                <c:pt idx="0">
                  <c:v>164</c:v>
                </c:pt>
                <c:pt idx="1">
                  <c:v>239</c:v>
                </c:pt>
                <c:pt idx="2">
                  <c:v>86</c:v>
                </c:pt>
              </c:numCache>
            </c:numRef>
          </c:val>
          <c:extLst>
            <c:ext xmlns:c16="http://schemas.microsoft.com/office/drawing/2014/chart" uri="{C3380CC4-5D6E-409C-BE32-E72D297353CC}">
              <c16:uniqueId val="{00000000-ADE6-42A9-9413-B98926D648BA}"/>
            </c:ext>
          </c:extLst>
        </c:ser>
        <c:ser>
          <c:idx val="1"/>
          <c:order val="1"/>
          <c:tx>
            <c:strRef>
              <c:f>'pivot tables '!$C$1:$C$2</c:f>
              <c:strCache>
                <c:ptCount val="1"/>
                <c:pt idx="0">
                  <c:v>Male</c:v>
                </c:pt>
              </c:strCache>
            </c:strRef>
          </c:tx>
          <c:spPr>
            <a:solidFill>
              <a:schemeClr val="accent2"/>
            </a:solidFill>
            <a:ln>
              <a:noFill/>
            </a:ln>
            <a:effectLst/>
          </c:spPr>
          <c:invertIfNegative val="0"/>
          <c:cat>
            <c:strRef>
              <c:f>'pivot tables '!$A$3:$A$6</c:f>
              <c:strCache>
                <c:ptCount val="3"/>
                <c:pt idx="0">
                  <c:v>Europe</c:v>
                </c:pt>
                <c:pt idx="1">
                  <c:v>North America</c:v>
                </c:pt>
                <c:pt idx="2">
                  <c:v>Pacific</c:v>
                </c:pt>
              </c:strCache>
            </c:strRef>
          </c:cat>
          <c:val>
            <c:numRef>
              <c:f>'pivot tables '!$C$3:$C$6</c:f>
              <c:numCache>
                <c:formatCode>General</c:formatCode>
                <c:ptCount val="3"/>
                <c:pt idx="0">
                  <c:v>136</c:v>
                </c:pt>
                <c:pt idx="1">
                  <c:v>269</c:v>
                </c:pt>
                <c:pt idx="2">
                  <c:v>106</c:v>
                </c:pt>
              </c:numCache>
            </c:numRef>
          </c:val>
          <c:extLst>
            <c:ext xmlns:c16="http://schemas.microsoft.com/office/drawing/2014/chart" uri="{C3380CC4-5D6E-409C-BE32-E72D297353CC}">
              <c16:uniqueId val="{00000001-ADE6-42A9-9413-B98926D648BA}"/>
            </c:ext>
          </c:extLst>
        </c:ser>
        <c:dLbls>
          <c:showLegendKey val="0"/>
          <c:showVal val="0"/>
          <c:showCatName val="0"/>
          <c:showSerName val="0"/>
          <c:showPercent val="0"/>
          <c:showBubbleSize val="0"/>
        </c:dLbls>
        <c:gapWidth val="219"/>
        <c:overlap val="-27"/>
        <c:axId val="863808912"/>
        <c:axId val="863813072"/>
      </c:barChart>
      <c:catAx>
        <c:axId val="8638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813072"/>
        <c:crosses val="autoZero"/>
        <c:auto val="1"/>
        <c:lblAlgn val="ctr"/>
        <c:lblOffset val="100"/>
        <c:noMultiLvlLbl val="0"/>
      </c:catAx>
      <c:valAx>
        <c:axId val="86381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808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Data Cleaning_backup.xlsx]pivot tables !PivotTable7</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 '!$B$9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4-48B7-ABFE-B07BAC2D1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4-48B7-ABFE-B07BAC2D1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A4-48B7-ABFE-B07BAC2D1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A4-48B7-ABFE-B07BAC2D1DE7}"/>
              </c:ext>
            </c:extLst>
          </c:dPt>
          <c:cat>
            <c:strRef>
              <c:f>'pivot tables '!$A$10:$A$14</c:f>
              <c:strCache>
                <c:ptCount val="4"/>
                <c:pt idx="0">
                  <c:v>&lt;30</c:v>
                </c:pt>
                <c:pt idx="1">
                  <c:v>30-45</c:v>
                </c:pt>
                <c:pt idx="2">
                  <c:v>46-60</c:v>
                </c:pt>
                <c:pt idx="3">
                  <c:v>60+</c:v>
                </c:pt>
              </c:strCache>
            </c:strRef>
          </c:cat>
          <c:val>
            <c:numRef>
              <c:f>'pivot tables '!$B$10:$B$14</c:f>
              <c:numCache>
                <c:formatCode>General</c:formatCode>
                <c:ptCount val="4"/>
                <c:pt idx="0">
                  <c:v>83</c:v>
                </c:pt>
                <c:pt idx="1">
                  <c:v>499</c:v>
                </c:pt>
                <c:pt idx="2">
                  <c:v>318</c:v>
                </c:pt>
                <c:pt idx="3">
                  <c:v>100</c:v>
                </c:pt>
              </c:numCache>
            </c:numRef>
          </c:val>
          <c:extLst>
            <c:ext xmlns:c16="http://schemas.microsoft.com/office/drawing/2014/chart" uri="{C3380CC4-5D6E-409C-BE32-E72D297353CC}">
              <c16:uniqueId val="{00000008-EEA4-48B7-ABFE-B07BAC2D1D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342900</xdr:colOff>
      <xdr:row>1</xdr:row>
      <xdr:rowOff>9525</xdr:rowOff>
    </xdr:from>
    <xdr:to>
      <xdr:col>10</xdr:col>
      <xdr:colOff>342900</xdr:colOff>
      <xdr:row>14</xdr:row>
      <xdr:rowOff>57150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10375" y="20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xdr:row>
      <xdr:rowOff>38100</xdr:rowOff>
    </xdr:from>
    <xdr:to>
      <xdr:col>14</xdr:col>
      <xdr:colOff>38100</xdr:colOff>
      <xdr:row>14</xdr:row>
      <xdr:rowOff>85725</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43975"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1</xdr:row>
      <xdr:rowOff>47625</xdr:rowOff>
    </xdr:from>
    <xdr:to>
      <xdr:col>17</xdr:col>
      <xdr:colOff>314325</xdr:colOff>
      <xdr:row>14</xdr:row>
      <xdr:rowOff>95250</xdr:rowOff>
    </xdr:to>
    <mc:AlternateContent xmlns:mc="http://schemas.openxmlformats.org/markup-compatibility/2006" xmlns:a14="http://schemas.microsoft.com/office/drawing/2010/main">
      <mc:Choice Requires="a14">
        <xdr:graphicFrame macro="">
          <xdr:nvGraphicFramePr>
            <xdr:cNvPr id="5" name="Income group"/>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1049000"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xdr:row>
      <xdr:rowOff>9525</xdr:rowOff>
    </xdr:from>
    <xdr:to>
      <xdr:col>21</xdr:col>
      <xdr:colOff>0</xdr:colOff>
      <xdr:row>14</xdr:row>
      <xdr:rowOff>57150</xdr:rowOff>
    </xdr:to>
    <mc:AlternateContent xmlns:mc="http://schemas.openxmlformats.org/markup-compatibility/2006" xmlns:a14="http://schemas.microsoft.com/office/drawing/2010/main">
      <mc:Choice Requires="a14">
        <xdr:graphicFrame macro="">
          <xdr:nvGraphicFramePr>
            <xdr:cNvPr id="6"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173075" y="20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2</xdr:row>
      <xdr:rowOff>180974</xdr:rowOff>
    </xdr:from>
    <xdr:to>
      <xdr:col>4</xdr:col>
      <xdr:colOff>600074</xdr:colOff>
      <xdr:row>5</xdr:row>
      <xdr:rowOff>190499</xdr:rowOff>
    </xdr:to>
    <xdr:sp macro="" textlink="">
      <xdr:nvSpPr>
        <xdr:cNvPr id="2" name="Rounded Rectangle 1"/>
        <xdr:cNvSpPr/>
      </xdr:nvSpPr>
      <xdr:spPr>
        <a:xfrm>
          <a:off x="1828799" y="561974"/>
          <a:ext cx="120967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 Customers</a:t>
          </a:r>
        </a:p>
        <a:p>
          <a:pPr algn="l"/>
          <a:r>
            <a:rPr lang="en-IN" sz="1100">
              <a:solidFill>
                <a:schemeClr val="accent6">
                  <a:lumMod val="50000"/>
                </a:schemeClr>
              </a:solidFill>
            </a:rPr>
            <a:t>1,000</a:t>
          </a:r>
        </a:p>
        <a:p>
          <a:pPr algn="l"/>
          <a:endParaRPr lang="en-IN" sz="1100"/>
        </a:p>
      </xdr:txBody>
    </xdr:sp>
    <xdr:clientData/>
  </xdr:twoCellAnchor>
  <xdr:twoCellAnchor>
    <xdr:from>
      <xdr:col>7</xdr:col>
      <xdr:colOff>0</xdr:colOff>
      <xdr:row>3</xdr:row>
      <xdr:rowOff>6574</xdr:rowOff>
    </xdr:from>
    <xdr:to>
      <xdr:col>8</xdr:col>
      <xdr:colOff>600075</xdr:colOff>
      <xdr:row>6</xdr:row>
      <xdr:rowOff>13416</xdr:rowOff>
    </xdr:to>
    <xdr:sp macro="" textlink="">
      <xdr:nvSpPr>
        <xdr:cNvPr id="3" name="Rounded Rectangle 2"/>
        <xdr:cNvSpPr/>
      </xdr:nvSpPr>
      <xdr:spPr>
        <a:xfrm>
          <a:off x="4225880" y="570025"/>
          <a:ext cx="1203772" cy="570292"/>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Total Buyers</a:t>
          </a:r>
        </a:p>
        <a:p>
          <a:pPr algn="l"/>
          <a:r>
            <a:rPr lang="en-IN" sz="1100">
              <a:solidFill>
                <a:schemeClr val="accent5">
                  <a:lumMod val="50000"/>
                </a:schemeClr>
              </a:solidFill>
            </a:rPr>
            <a:t>481</a:t>
          </a:r>
        </a:p>
        <a:p>
          <a:pPr algn="l"/>
          <a:endParaRPr lang="en-IN" sz="1100"/>
        </a:p>
      </xdr:txBody>
    </xdr:sp>
    <xdr:clientData/>
  </xdr:twoCellAnchor>
  <xdr:twoCellAnchor>
    <xdr:from>
      <xdr:col>11</xdr:col>
      <xdr:colOff>0</xdr:colOff>
      <xdr:row>2</xdr:row>
      <xdr:rowOff>170511</xdr:rowOff>
    </xdr:from>
    <xdr:to>
      <xdr:col>13</xdr:col>
      <xdr:colOff>13415</xdr:colOff>
      <xdr:row>5</xdr:row>
      <xdr:rowOff>180035</xdr:rowOff>
    </xdr:to>
    <xdr:sp macro="" textlink="">
      <xdr:nvSpPr>
        <xdr:cNvPr id="4" name="Rounded Rectangle 3"/>
        <xdr:cNvSpPr/>
      </xdr:nvSpPr>
      <xdr:spPr>
        <a:xfrm>
          <a:off x="6734577" y="546145"/>
          <a:ext cx="1220810" cy="572975"/>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Conversion Rate</a:t>
          </a:r>
        </a:p>
        <a:p>
          <a:pPr algn="l"/>
          <a:r>
            <a:rPr lang="en-IN" sz="1100">
              <a:solidFill>
                <a:schemeClr val="accent2">
                  <a:lumMod val="50000"/>
                </a:schemeClr>
              </a:solidFill>
            </a:rPr>
            <a:t>48.1%</a:t>
          </a:r>
        </a:p>
        <a:p>
          <a:pPr algn="l"/>
          <a:endParaRPr lang="en-IN" sz="1100"/>
        </a:p>
      </xdr:txBody>
    </xdr:sp>
    <xdr:clientData/>
  </xdr:twoCellAnchor>
  <xdr:twoCellAnchor>
    <xdr:from>
      <xdr:col>15</xdr:col>
      <xdr:colOff>13416</xdr:colOff>
      <xdr:row>3</xdr:row>
      <xdr:rowOff>13416</xdr:rowOff>
    </xdr:from>
    <xdr:to>
      <xdr:col>17</xdr:col>
      <xdr:colOff>9793</xdr:colOff>
      <xdr:row>6</xdr:row>
      <xdr:rowOff>22941</xdr:rowOff>
    </xdr:to>
    <xdr:sp macro="" textlink="">
      <xdr:nvSpPr>
        <xdr:cNvPr id="5" name="Rounded Rectangle 4"/>
        <xdr:cNvSpPr/>
      </xdr:nvSpPr>
      <xdr:spPr>
        <a:xfrm>
          <a:off x="9162782" y="576867"/>
          <a:ext cx="1203772" cy="572975"/>
        </a:xfrm>
        <a:prstGeom prst="roundRect">
          <a:avLst/>
        </a:prstGeom>
        <a:solidFill>
          <a:srgbClr val="86FA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Avg Income</a:t>
          </a:r>
        </a:p>
        <a:p>
          <a:pPr algn="l"/>
          <a:r>
            <a:rPr lang="en-IN" sz="1100">
              <a:solidFill>
                <a:srgbClr val="057570"/>
              </a:solidFill>
            </a:rPr>
            <a:t>56,360</a:t>
          </a:r>
        </a:p>
        <a:p>
          <a:pPr algn="l"/>
          <a:endParaRPr lang="en-IN" sz="1100"/>
        </a:p>
      </xdr:txBody>
    </xdr:sp>
    <xdr:clientData/>
  </xdr:twoCellAnchor>
  <xdr:twoCellAnchor>
    <xdr:from>
      <xdr:col>18</xdr:col>
      <xdr:colOff>590281</xdr:colOff>
      <xdr:row>2</xdr:row>
      <xdr:rowOff>184865</xdr:rowOff>
    </xdr:from>
    <xdr:to>
      <xdr:col>20</xdr:col>
      <xdr:colOff>586659</xdr:colOff>
      <xdr:row>6</xdr:row>
      <xdr:rowOff>6574</xdr:rowOff>
    </xdr:to>
    <xdr:sp macro="" textlink="">
      <xdr:nvSpPr>
        <xdr:cNvPr id="6" name="Rounded Rectangle 5"/>
        <xdr:cNvSpPr/>
      </xdr:nvSpPr>
      <xdr:spPr>
        <a:xfrm>
          <a:off x="11550739" y="560499"/>
          <a:ext cx="1203772" cy="572976"/>
        </a:xfrm>
        <a:prstGeom prst="roundRect">
          <a:avLst/>
        </a:prstGeom>
        <a:solidFill>
          <a:srgbClr val="CFAF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Avg Age</a:t>
          </a:r>
        </a:p>
        <a:p>
          <a:pPr algn="l"/>
          <a:r>
            <a:rPr lang="en-IN" sz="1100">
              <a:solidFill>
                <a:srgbClr val="4C216D"/>
              </a:solidFill>
            </a:rPr>
            <a:t>44.2</a:t>
          </a:r>
        </a:p>
        <a:p>
          <a:pPr algn="l"/>
          <a:endParaRPr lang="en-IN" sz="1100"/>
        </a:p>
      </xdr:txBody>
    </xdr:sp>
    <xdr:clientData/>
  </xdr:twoCellAnchor>
  <xdr:twoCellAnchor>
    <xdr:from>
      <xdr:col>6</xdr:col>
      <xdr:colOff>590282</xdr:colOff>
      <xdr:row>8</xdr:row>
      <xdr:rowOff>13415</xdr:rowOff>
    </xdr:from>
    <xdr:to>
      <xdr:col>14</xdr:col>
      <xdr:colOff>49771</xdr:colOff>
      <xdr:row>27</xdr:row>
      <xdr:rowOff>174401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590282</xdr:colOff>
      <xdr:row>8</xdr:row>
      <xdr:rowOff>13416</xdr:rowOff>
    </xdr:from>
    <xdr:to>
      <xdr:col>21</xdr:col>
      <xdr:colOff>1</xdr:colOff>
      <xdr:row>28</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20929</xdr:colOff>
      <xdr:row>14</xdr:row>
      <xdr:rowOff>13417</xdr:rowOff>
    </xdr:from>
    <xdr:to>
      <xdr:col>6</xdr:col>
      <xdr:colOff>13416</xdr:colOff>
      <xdr:row>20</xdr:row>
      <xdr:rowOff>53662</xdr:rowOff>
    </xdr:to>
    <mc:AlternateContent xmlns:mc="http://schemas.openxmlformats.org/markup-compatibility/2006" xmlns:a14="http://schemas.microsoft.com/office/drawing/2010/main">
      <mc:Choice Requires="a14">
        <xdr:graphicFrame macro="">
          <xdr:nvGraphicFramePr>
            <xdr:cNvPr id="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32021" y="2642854"/>
              <a:ext cx="1803578" cy="1167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11268</xdr:colOff>
      <xdr:row>8</xdr:row>
      <xdr:rowOff>24685</xdr:rowOff>
    </xdr:from>
    <xdr:to>
      <xdr:col>6</xdr:col>
      <xdr:colOff>13416</xdr:colOff>
      <xdr:row>13</xdr:row>
      <xdr:rowOff>13415</xdr:rowOff>
    </xdr:to>
    <mc:AlternateContent xmlns:mc="http://schemas.openxmlformats.org/markup-compatibility/2006" xmlns:a14="http://schemas.microsoft.com/office/drawing/2010/main">
      <mc:Choice Requires="a14">
        <xdr:graphicFrame macro="">
          <xdr:nvGraphicFramePr>
            <xdr:cNvPr id="10"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22360" y="1527220"/>
              <a:ext cx="1813239" cy="927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5768</xdr:colOff>
      <xdr:row>21</xdr:row>
      <xdr:rowOff>114702</xdr:rowOff>
    </xdr:from>
    <xdr:to>
      <xdr:col>6</xdr:col>
      <xdr:colOff>13417</xdr:colOff>
      <xdr:row>28</xdr:row>
      <xdr:rowOff>0</xdr:rowOff>
    </xdr:to>
    <mc:AlternateContent xmlns:mc="http://schemas.openxmlformats.org/markup-compatibility/2006" xmlns:a14="http://schemas.microsoft.com/office/drawing/2010/main">
      <mc:Choice Requires="a14">
        <xdr:graphicFrame macro="">
          <xdr:nvGraphicFramePr>
            <xdr:cNvPr id="11" name="Income group 1"/>
            <xdr:cNvGraphicFramePr/>
          </xdr:nvGraphicFramePr>
          <xdr:xfrm>
            <a:off x="0" y="0"/>
            <a:ext cx="0" cy="0"/>
          </xdr:xfrm>
          <a:graphic>
            <a:graphicData uri="http://schemas.microsoft.com/office/drawing/2010/slicer">
              <sle:slicer xmlns:sle="http://schemas.microsoft.com/office/drawing/2010/slicer" name="Income group 1"/>
            </a:graphicData>
          </a:graphic>
        </xdr:graphicFrame>
      </mc:Choice>
      <mc:Fallback xmlns="">
        <xdr:sp macro="" textlink="">
          <xdr:nvSpPr>
            <xdr:cNvPr id="0" name=""/>
            <xdr:cNvSpPr>
              <a:spLocks noTextEdit="1"/>
            </xdr:cNvSpPr>
          </xdr:nvSpPr>
          <xdr:spPr>
            <a:xfrm>
              <a:off x="1816860" y="4058857"/>
              <a:ext cx="1818740" cy="1200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29</xdr:row>
      <xdr:rowOff>22942</xdr:rowOff>
    </xdr:from>
    <xdr:to>
      <xdr:col>6</xdr:col>
      <xdr:colOff>0</xdr:colOff>
      <xdr:row>36</xdr:row>
      <xdr:rowOff>174403</xdr:rowOff>
    </xdr:to>
    <mc:AlternateContent xmlns:mc="http://schemas.openxmlformats.org/markup-compatibility/2006" xmlns:a14="http://schemas.microsoft.com/office/drawing/2010/main">
      <mc:Choice Requires="a14">
        <xdr:graphicFrame macro="">
          <xdr:nvGraphicFramePr>
            <xdr:cNvPr id="12" name="Age group 1"/>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811092" y="5469632"/>
              <a:ext cx="1811091" cy="1466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20.526838541664" createdVersion="6" refreshedVersion="6" minRefreshableVersion="3" recordCount="1000">
  <cacheSource type="worksheet">
    <worksheetSource name="tblbuyers"/>
  </cacheSource>
  <cacheFields count="18">
    <cacheField name="ID" numFmtId="0">
      <sharedItems containsSemiMixedTypes="0" containsString="0" containsNumber="1" containsInteger="1" minValue="11000" maxValue="29447"/>
    </cacheField>
    <cacheField name=" 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acheField>
    <cacheField name="Column2" numFmtId="0">
      <sharedItems containsSemiMixedTypes="0" containsString="0" containsNumber="1" containsInteger="1" minValue="0" maxValue="0"/>
    </cacheField>
    <cacheField name="Age group" numFmtId="0">
      <sharedItems count="4">
        <s v="30-45"/>
        <s v="46-60"/>
        <s v="60+"/>
        <s v="&lt;30"/>
      </sharedItems>
    </cacheField>
    <cacheField name="Income group" numFmtId="0">
      <sharedItems count="3">
        <s v="Medium"/>
        <s v="High"/>
        <s v="Low"/>
      </sharedItems>
    </cacheField>
    <cacheField name="Flag purchase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5920.54743333333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Measures]" caption="Measures" attribute="1" keyAttribute="1" defaultMemberUniqueName="[Measures].[__No measures defined]" dimensionUniqueName="[Measures]" displayFolder="" measures="1" count="1" memberValueDatatype="130" unbalanced="0"/>
    <cacheHierarchy uniqueName="[Range].[Gender]" caption="Gender" attribute="1" defaultMemberUniqueName="[Range].[Gender].[All]" allUniqueName="[Range].[Gender].[All]" dimensionUniqueName="[Range]" displayFolder="" count="2" memberValueDatatype="130" unbalanced="0"/>
    <cacheHierarchy uniqueName="[tblbuyers].[ID]" caption="ID" attribute="1" defaultMemberUniqueName="[tblbuyers].[ID].[All]" allUniqueName="[tblbuyers].[ID].[All]" dimensionUniqueName="[tblbuyers]" displayFolder="" count="2" memberValueDatatype="20" unbalanced="0"/>
    <cacheHierarchy uniqueName="[tblbuyers].[Marital Status]" caption="Marital Status" attribute="1" defaultMemberUniqueName="[tblbuyers].[Marital Status].[All]" allUniqueName="[tblbuyers].[Marital Status].[All]" dimensionUniqueName="[tblbuyers]" displayFolder="" count="2" memberValueDatatype="130" unbalanced="0"/>
    <cacheHierarchy uniqueName="[tblbuyers].[Gender]" caption="Gender" attribute="1" defaultMemberUniqueName="[tblbuyers].[Gender].[All]" allUniqueName="[tblbuyers].[Gender].[All]" dimensionUniqueName="[tblbuyers]" displayFolder="" count="2" memberValueDatatype="130" unbalanced="0"/>
    <cacheHierarchy uniqueName="[tblbuyers].[Income]" caption="Income" attribute="1" defaultMemberUniqueName="[tblbuyers].[Income].[All]" allUniqueName="[tblbuyers].[Income].[All]" dimensionUniqueName="[tblbuyers]" displayFolder="" count="2" memberValueDatatype="20" unbalanced="0"/>
    <cacheHierarchy uniqueName="[tblbuyers].[Children]" caption="Children" attribute="1" defaultMemberUniqueName="[tblbuyers].[Children].[All]" allUniqueName="[tblbuyers].[Children].[All]" dimensionUniqueName="[tblbuyers]" displayFolder="" count="2" memberValueDatatype="20" unbalanced="0"/>
    <cacheHierarchy uniqueName="[tblbuyers].[Education]" caption="Education" attribute="1" defaultMemberUniqueName="[tblbuyers].[Education].[All]" allUniqueName="[tblbuyers].[Education].[All]" dimensionUniqueName="[tblbuyers]" displayFolder="" count="2" memberValueDatatype="130" unbalanced="0"/>
    <cacheHierarchy uniqueName="[tblbuyers].[Occupation]" caption="Occupation" attribute="1" defaultMemberUniqueName="[tblbuyers].[Occupation].[All]" allUniqueName="[tblbuyers].[Occupation].[All]" dimensionUniqueName="[tblbuyers]" displayFolder="" count="2" memberValueDatatype="130" unbalanced="0"/>
    <cacheHierarchy uniqueName="[tblbuyers].[Home Owner]" caption="Home Owner" attribute="1" defaultMemberUniqueName="[tblbuyers].[Home Owner].[All]" allUniqueName="[tblbuyers].[Home Owner].[All]" dimensionUniqueName="[tblbuyers]" displayFolder="" count="2" memberValueDatatype="130" unbalanced="0"/>
    <cacheHierarchy uniqueName="[tblbuyers].[Cars]" caption="Cars" attribute="1" defaultMemberUniqueName="[tblbuyers].[Cars].[All]" allUniqueName="[tblbuyers].[Cars].[All]" dimensionUniqueName="[tblbuyers]" displayFolder="" count="2" memberValueDatatype="20" unbalanced="0"/>
    <cacheHierarchy uniqueName="[tblbuyers].[Commute Distance]" caption="Commute Distance" attribute="1" defaultMemberUniqueName="[tblbuyers].[Commute Distance].[All]" allUniqueName="[tblbuyers].[Commute Distance].[All]" dimensionUniqueName="[tblbuyers]" displayFolder="" count="2" memberValueDatatype="130" unbalanced="0"/>
    <cacheHierarchy uniqueName="[tblbuyers].[Region]" caption="Region" attribute="1" defaultMemberUniqueName="[tblbuyers].[Region].[All]" allUniqueName="[tblbuyers].[Region].[All]" dimensionUniqueName="[tblbuyers]" displayFolder="" count="2" memberValueDatatype="130" unbalanced="0"/>
    <cacheHierarchy uniqueName="[tblbuyers].[Age]" caption="Age" attribute="1" defaultMemberUniqueName="[tblbuyers].[Age].[All]" allUniqueName="[tblbuyers].[Age].[All]" dimensionUniqueName="[tblbuyers]" displayFolder="" count="2" memberValueDatatype="20" unbalanced="0"/>
    <cacheHierarchy uniqueName="[tblbuyers].[Age Bracket]" caption="Age Bracket" attribute="1" defaultMemberUniqueName="[tblbuyers].[Age Bracket].[All]" allUniqueName="[tblbuyers].[Age Bracket].[All]" dimensionUniqueName="[tblbuyers]" displayFolder="" count="2" memberValueDatatype="130" unbalanced="0"/>
    <cacheHierarchy uniqueName="[tblbuyers].[Purchased Bike]" caption="Purchased Bike" attribute="1" defaultMemberUniqueName="[tblbuyers].[Purchased Bike].[All]" allUniqueName="[tblbuyers].[Purchased Bike].[All]" dimensionUniqueName="[tblbuyers]" displayFolder="" count="2" memberValueDatatype="130" unbalanced="0"/>
    <cacheHierarchy uniqueName="[tblbuyers].[Column2]" caption="Column2" attribute="1" defaultMemberUniqueName="[tblbuyers].[Column2].[All]" allUniqueName="[tblbuyers].[Column2].[All]" dimensionUniqueName="[tblbuyers]" displayFolder="" count="2" memberValueDatatype="20" unbalanced="0"/>
    <cacheHierarchy uniqueName="[tblbuyers].[Age group]" caption="Age group" attribute="1" defaultMemberUniqueName="[tblbuyers].[Age group].[All]" allUniqueName="[tblbuyers].[Age group].[All]" dimensionUniqueName="[tblbuyers]" displayFolder="" count="2" memberValueDatatype="130" unbalanced="0"/>
    <cacheHierarchy uniqueName="[tblbuyers].[Income group]" caption="Income group" attribute="1" defaultMemberUniqueName="[tblbuyers].[Income group].[All]" allUniqueName="[tblbuyers].[Income group].[All]" dimensionUniqueName="[tblbuyers]" displayFolder="" count="2" memberValueDatatype="130" unbalanced="0"/>
    <cacheHierarchy uniqueName="[tblbuyers].[Flag purchased]" caption="Flag purchased" attribute="1" defaultMemberUniqueName="[tblbuyers].[Flag purchased].[All]" allUniqueName="[tblbuyers].[Flag purchased].[All]" dimensionUniqueName="[tblbuyers]" displayFolder="" count="2" memberValueDatatype="130" unbalanced="0"/>
    <cacheHierarchy uniqueName="[Measures].[__XL_Count Range]" caption="__XL_Count Range" measure="1" displayFolder="" measureGroup="Range" count="0" hidden="1"/>
    <cacheHierarchy uniqueName="[Measures].[__XL_Count tblbuyers]" caption="__XL_Count tblbuyers" measure="1" displayFolder="" measureGroup="tblbuyers" count="0" hidden="1"/>
    <cacheHierarchy uniqueName="[Measures].[__No measures defined]" caption="__No measures defined" measure="1" displayFolder="" count="0" hidden="1"/>
  </cacheHierarchies>
  <kpis count="0"/>
  <dimensions count="3">
    <dimension measure="1" name="Measures" uniqueName="[Measures]" caption="Measures"/>
    <dimension name="Range" uniqueName="[Range]" caption="Range"/>
    <dimension name="tblbuyers" uniqueName="[tblbuyers]" caption="tblbuyers"/>
  </dimensions>
  <measureGroups count="2">
    <measureGroup name="Range" caption="Range"/>
    <measureGroup name="tblbuyers" caption="tblbuyers"/>
  </measureGroups>
  <maps count="2">
    <map measureGroup="0" dimension="1"/>
    <map measureGroup="1" dimension="2"/>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n v="40000"/>
    <n v="1"/>
    <s v="Bachelors"/>
    <x v="0"/>
    <s v="Yes"/>
    <n v="0"/>
    <s v="0-1 Miles"/>
    <x v="0"/>
    <n v="42"/>
    <s v="Middle Age"/>
    <s v="No"/>
    <n v="0"/>
    <x v="0"/>
    <x v="0"/>
    <s v="No"/>
  </r>
  <r>
    <n v="24107"/>
    <s v="Married"/>
    <x v="1"/>
    <n v="30000"/>
    <n v="3"/>
    <s v="Partial College"/>
    <x v="1"/>
    <s v="Yes"/>
    <n v="1"/>
    <s v="0-1 Miles"/>
    <x v="0"/>
    <n v="43"/>
    <s v="Middle Age"/>
    <s v="No"/>
    <n v="0"/>
    <x v="0"/>
    <x v="0"/>
    <s v="No"/>
  </r>
  <r>
    <n v="14177"/>
    <s v="Married"/>
    <x v="1"/>
    <n v="80000"/>
    <n v="5"/>
    <s v="Partial College"/>
    <x v="2"/>
    <s v="No"/>
    <n v="2"/>
    <s v="2-5 Miles"/>
    <x v="0"/>
    <n v="60"/>
    <s v="Old"/>
    <s v="No"/>
    <n v="0"/>
    <x v="1"/>
    <x v="1"/>
    <s v="No"/>
  </r>
  <r>
    <n v="24381"/>
    <s v="Single"/>
    <x v="1"/>
    <n v="70000"/>
    <n v="0"/>
    <s v="Bachelors"/>
    <x v="2"/>
    <s v="Yes"/>
    <n v="1"/>
    <s v="5-10 Miles"/>
    <x v="1"/>
    <n v="41"/>
    <s v="Middle Age"/>
    <s v="Yes"/>
    <n v="0"/>
    <x v="0"/>
    <x v="0"/>
    <s v="Yes"/>
  </r>
  <r>
    <n v="25597"/>
    <s v="Single"/>
    <x v="1"/>
    <n v="30000"/>
    <n v="0"/>
    <s v="Bachelors"/>
    <x v="1"/>
    <s v="No"/>
    <n v="0"/>
    <s v="0-1 Miles"/>
    <x v="0"/>
    <n v="36"/>
    <s v="Middle Age"/>
    <s v="Yes"/>
    <n v="0"/>
    <x v="0"/>
    <x v="0"/>
    <s v="Yes"/>
  </r>
  <r>
    <n v="13507"/>
    <s v="Married"/>
    <x v="0"/>
    <n v="10000"/>
    <n v="2"/>
    <s v="Partial College"/>
    <x v="3"/>
    <s v="Yes"/>
    <n v="0"/>
    <s v="1-2 Miles"/>
    <x v="0"/>
    <n v="50"/>
    <s v="Middle Age"/>
    <s v="No"/>
    <n v="0"/>
    <x v="1"/>
    <x v="2"/>
    <s v="No"/>
  </r>
  <r>
    <n v="27974"/>
    <s v="Single"/>
    <x v="1"/>
    <n v="160000"/>
    <n v="2"/>
    <s v="High School"/>
    <x v="4"/>
    <s v="Yes"/>
    <n v="4"/>
    <s v="0-1 Miles"/>
    <x v="1"/>
    <n v="33"/>
    <s v="Middle Age"/>
    <s v="Yes"/>
    <n v="0"/>
    <x v="0"/>
    <x v="1"/>
    <s v="Yes"/>
  </r>
  <r>
    <n v="19364"/>
    <s v="Married"/>
    <x v="1"/>
    <n v="40000"/>
    <n v="1"/>
    <s v="Bachelors"/>
    <x v="0"/>
    <s v="Yes"/>
    <n v="0"/>
    <s v="0-1 Miles"/>
    <x v="0"/>
    <n v="43"/>
    <s v="Middle Age"/>
    <s v="Yes"/>
    <n v="0"/>
    <x v="0"/>
    <x v="0"/>
    <s v="Yes"/>
  </r>
  <r>
    <n v="22155"/>
    <s v="Married"/>
    <x v="1"/>
    <n v="20000"/>
    <n v="2"/>
    <s v="Partial High School"/>
    <x v="1"/>
    <s v="Yes"/>
    <n v="2"/>
    <s v="5-10 Miles"/>
    <x v="1"/>
    <n v="58"/>
    <s v="Old"/>
    <s v="No"/>
    <n v="0"/>
    <x v="1"/>
    <x v="2"/>
    <s v="No"/>
  </r>
  <r>
    <n v="19280"/>
    <s v="Married"/>
    <x v="1"/>
    <n v="120000"/>
    <n v="2"/>
    <s v="Partial College"/>
    <x v="3"/>
    <s v="Yes"/>
    <n v="1"/>
    <s v="0-1 Miles"/>
    <x v="0"/>
    <n v="40"/>
    <s v="Middle Age"/>
    <s v="Yes"/>
    <n v="0"/>
    <x v="0"/>
    <x v="1"/>
    <s v="Yes"/>
  </r>
  <r>
    <n v="22173"/>
    <s v="Married"/>
    <x v="0"/>
    <n v="30000"/>
    <n v="3"/>
    <s v="High School"/>
    <x v="0"/>
    <s v="No"/>
    <n v="2"/>
    <s v="1-2 Miles"/>
    <x v="1"/>
    <n v="54"/>
    <s v="Middle Age"/>
    <s v="Yes"/>
    <n v="0"/>
    <x v="1"/>
    <x v="0"/>
    <s v="Yes"/>
  </r>
  <r>
    <n v="12697"/>
    <s v="Single"/>
    <x v="0"/>
    <n v="90000"/>
    <n v="0"/>
    <s v="Bachelors"/>
    <x v="2"/>
    <s v="No"/>
    <n v="4"/>
    <s v="10+ Miles"/>
    <x v="1"/>
    <n v="36"/>
    <s v="Middle Age"/>
    <s v="No"/>
    <n v="0"/>
    <x v="0"/>
    <x v="1"/>
    <s v="No"/>
  </r>
  <r>
    <n v="11434"/>
    <s v="Married"/>
    <x v="1"/>
    <n v="170000"/>
    <n v="5"/>
    <s v="Partial College"/>
    <x v="2"/>
    <s v="Yes"/>
    <n v="0"/>
    <s v="0-1 Miles"/>
    <x v="0"/>
    <n v="55"/>
    <s v="Old"/>
    <s v="No"/>
    <n v="0"/>
    <x v="1"/>
    <x v="1"/>
    <s v="No"/>
  </r>
  <r>
    <n v="25323"/>
    <s v="Married"/>
    <x v="1"/>
    <n v="40000"/>
    <n v="2"/>
    <s v="Partial College"/>
    <x v="1"/>
    <s v="Yes"/>
    <n v="1"/>
    <s v="1-2 Miles"/>
    <x v="0"/>
    <n v="35"/>
    <s v="Middle Age"/>
    <s v="Yes"/>
    <n v="0"/>
    <x v="0"/>
    <x v="0"/>
    <s v="Yes"/>
  </r>
  <r>
    <n v="23542"/>
    <s v="Single"/>
    <x v="1"/>
    <n v="60000"/>
    <n v="1"/>
    <s v="Partial College"/>
    <x v="0"/>
    <s v="No"/>
    <n v="1"/>
    <s v="0-1 Miles"/>
    <x v="1"/>
    <n v="45"/>
    <s v="Middle Age"/>
    <s v="Yes"/>
    <n v="0"/>
    <x v="0"/>
    <x v="0"/>
    <s v="Yes"/>
  </r>
  <r>
    <n v="20870"/>
    <s v="Single"/>
    <x v="0"/>
    <n v="10000"/>
    <n v="2"/>
    <s v="High School"/>
    <x v="3"/>
    <s v="Yes"/>
    <n v="1"/>
    <s v="0-1 Miles"/>
    <x v="0"/>
    <n v="38"/>
    <s v="Middle Age"/>
    <s v="Yes"/>
    <n v="0"/>
    <x v="0"/>
    <x v="2"/>
    <s v="Yes"/>
  </r>
  <r>
    <n v="23316"/>
    <s v="Single"/>
    <x v="1"/>
    <n v="30000"/>
    <n v="3"/>
    <s v="Partial College"/>
    <x v="1"/>
    <s v="No"/>
    <n v="2"/>
    <s v="1-2 Miles"/>
    <x v="1"/>
    <n v="59"/>
    <s v="Old"/>
    <s v="Yes"/>
    <n v="0"/>
    <x v="1"/>
    <x v="0"/>
    <s v="Yes"/>
  </r>
  <r>
    <n v="12610"/>
    <s v="Married"/>
    <x v="0"/>
    <n v="30000"/>
    <n v="1"/>
    <s v="Bachelors"/>
    <x v="1"/>
    <s v="Yes"/>
    <n v="0"/>
    <s v="0-1 Miles"/>
    <x v="0"/>
    <n v="47"/>
    <s v="Middle Age"/>
    <s v="No"/>
    <n v="0"/>
    <x v="1"/>
    <x v="0"/>
    <s v="No"/>
  </r>
  <r>
    <n v="27183"/>
    <s v="Single"/>
    <x v="1"/>
    <n v="40000"/>
    <n v="2"/>
    <s v="Partial College"/>
    <x v="1"/>
    <s v="Yes"/>
    <n v="1"/>
    <s v="1-2 Miles"/>
    <x v="0"/>
    <n v="35"/>
    <s v="Middle Age"/>
    <s v="Yes"/>
    <n v="0"/>
    <x v="0"/>
    <x v="0"/>
    <s v="Yes"/>
  </r>
  <r>
    <n v="25940"/>
    <s v="Single"/>
    <x v="1"/>
    <n v="20000"/>
    <n v="2"/>
    <s v="Partial High School"/>
    <x v="1"/>
    <s v="Yes"/>
    <n v="2"/>
    <s v="5-10 Miles"/>
    <x v="1"/>
    <n v="55"/>
    <s v="Old"/>
    <s v="Yes"/>
    <n v="0"/>
    <x v="1"/>
    <x v="2"/>
    <s v="Yes"/>
  </r>
  <r>
    <n v="25598"/>
    <s v="Married"/>
    <x v="0"/>
    <n v="40000"/>
    <n v="0"/>
    <s v="Graduate Degree"/>
    <x v="1"/>
    <s v="Yes"/>
    <n v="0"/>
    <s v="0-1 Miles"/>
    <x v="0"/>
    <n v="36"/>
    <s v="Middle Age"/>
    <s v="Yes"/>
    <n v="0"/>
    <x v="0"/>
    <x v="0"/>
    <s v="Yes"/>
  </r>
  <r>
    <n v="21564"/>
    <s v="Single"/>
    <x v="0"/>
    <n v="80000"/>
    <n v="0"/>
    <s v="Bachelors"/>
    <x v="2"/>
    <s v="Yes"/>
    <n v="4"/>
    <s v="10+ Miles"/>
    <x v="1"/>
    <n v="35"/>
    <s v="Middle Age"/>
    <s v="No"/>
    <n v="0"/>
    <x v="0"/>
    <x v="1"/>
    <s v="No"/>
  </r>
  <r>
    <n v="19193"/>
    <s v="Single"/>
    <x v="1"/>
    <n v="40000"/>
    <n v="2"/>
    <s v="Partial College"/>
    <x v="1"/>
    <s v="Yes"/>
    <n v="0"/>
    <s v="1-2 Miles"/>
    <x v="0"/>
    <n v="35"/>
    <s v="Middle Age"/>
    <s v="Yes"/>
    <n v="0"/>
    <x v="0"/>
    <x v="0"/>
    <s v="Yes"/>
  </r>
  <r>
    <n v="26412"/>
    <s v="Married"/>
    <x v="0"/>
    <n v="80000"/>
    <n v="5"/>
    <s v="High School"/>
    <x v="4"/>
    <s v="No"/>
    <n v="3"/>
    <s v="5-10 Miles"/>
    <x v="0"/>
    <n v="56"/>
    <s v="Old"/>
    <s v="No"/>
    <n v="0"/>
    <x v="1"/>
    <x v="1"/>
    <s v="No"/>
  </r>
  <r>
    <n v="27184"/>
    <s v="Single"/>
    <x v="1"/>
    <n v="40000"/>
    <n v="2"/>
    <s v="Partial College"/>
    <x v="1"/>
    <s v="No"/>
    <n v="1"/>
    <s v="0-1 Miles"/>
    <x v="0"/>
    <n v="34"/>
    <s v="Middle Age"/>
    <s v="No"/>
    <n v="0"/>
    <x v="0"/>
    <x v="0"/>
    <s v="No"/>
  </r>
  <r>
    <n v="12590"/>
    <s v="Single"/>
    <x v="1"/>
    <n v="30000"/>
    <n v="1"/>
    <s v="Bachelors"/>
    <x v="1"/>
    <s v="Yes"/>
    <n v="0"/>
    <s v="0-1 Miles"/>
    <x v="0"/>
    <n v="63"/>
    <s v="Old"/>
    <s v="No"/>
    <n v="0"/>
    <x v="2"/>
    <x v="0"/>
    <s v="No"/>
  </r>
  <r>
    <n v="17841"/>
    <s v="Single"/>
    <x v="1"/>
    <n v="30000"/>
    <n v="0"/>
    <s v="Partial College"/>
    <x v="1"/>
    <s v="No"/>
    <n v="1"/>
    <s v="0-1 Miles"/>
    <x v="0"/>
    <n v="29"/>
    <s v="Adolescent"/>
    <s v="Yes"/>
    <n v="0"/>
    <x v="3"/>
    <x v="0"/>
    <s v="Yes"/>
  </r>
  <r>
    <n v="18283"/>
    <s v="Single"/>
    <x v="0"/>
    <n v="100000"/>
    <n v="0"/>
    <s v="Bachelors"/>
    <x v="2"/>
    <s v="No"/>
    <n v="1"/>
    <s v="5-10 Miles"/>
    <x v="1"/>
    <n v="40"/>
    <s v="Middle Age"/>
    <s v="No"/>
    <n v="0"/>
    <x v="0"/>
    <x v="1"/>
    <s v="No"/>
  </r>
  <r>
    <n v="18299"/>
    <s v="Married"/>
    <x v="1"/>
    <n v="70000"/>
    <n v="5"/>
    <s v="Partial College"/>
    <x v="0"/>
    <s v="Yes"/>
    <n v="2"/>
    <s v="5-10 Miles"/>
    <x v="1"/>
    <n v="44"/>
    <s v="Middle Age"/>
    <s v="No"/>
    <n v="0"/>
    <x v="0"/>
    <x v="0"/>
    <s v="No"/>
  </r>
  <r>
    <n v="16466"/>
    <s v="Single"/>
    <x v="0"/>
    <n v="20000"/>
    <n v="0"/>
    <s v="Partial High School"/>
    <x v="3"/>
    <s v="No"/>
    <n v="2"/>
    <s v="0-1 Miles"/>
    <x v="0"/>
    <n v="32"/>
    <s v="Middle Age"/>
    <s v="Yes"/>
    <n v="0"/>
    <x v="0"/>
    <x v="2"/>
    <s v="Yes"/>
  </r>
  <r>
    <n v="19273"/>
    <s v="Married"/>
    <x v="0"/>
    <n v="20000"/>
    <n v="2"/>
    <s v="Partial College"/>
    <x v="3"/>
    <s v="Yes"/>
    <n v="0"/>
    <s v="0-1 Miles"/>
    <x v="0"/>
    <n v="63"/>
    <s v="Old"/>
    <s v="No"/>
    <n v="0"/>
    <x v="2"/>
    <x v="2"/>
    <s v="No"/>
  </r>
  <r>
    <n v="22400"/>
    <s v="Married"/>
    <x v="1"/>
    <n v="10000"/>
    <n v="0"/>
    <s v="Partial College"/>
    <x v="3"/>
    <s v="No"/>
    <n v="1"/>
    <s v="0-1 Miles"/>
    <x v="1"/>
    <n v="26"/>
    <s v="Adolescent"/>
    <s v="Yes"/>
    <n v="0"/>
    <x v="3"/>
    <x v="2"/>
    <s v="Yes"/>
  </r>
  <r>
    <n v="20942"/>
    <s v="Single"/>
    <x v="0"/>
    <n v="20000"/>
    <n v="0"/>
    <s v="High School"/>
    <x v="3"/>
    <s v="No"/>
    <n v="1"/>
    <s v="5-10 Miles"/>
    <x v="0"/>
    <n v="31"/>
    <s v="Middle Age"/>
    <s v="No"/>
    <n v="0"/>
    <x v="0"/>
    <x v="2"/>
    <s v="No"/>
  </r>
  <r>
    <n v="18484"/>
    <s v="Single"/>
    <x v="1"/>
    <n v="80000"/>
    <n v="2"/>
    <s v="High School"/>
    <x v="0"/>
    <s v="No"/>
    <n v="2"/>
    <s v="1-2 Miles"/>
    <x v="1"/>
    <n v="50"/>
    <s v="Middle Age"/>
    <s v="Yes"/>
    <n v="0"/>
    <x v="1"/>
    <x v="1"/>
    <s v="Yes"/>
  </r>
  <r>
    <n v="12291"/>
    <s v="Single"/>
    <x v="1"/>
    <n v="90000"/>
    <n v="5"/>
    <s v="Partial College"/>
    <x v="2"/>
    <s v="No"/>
    <n v="2"/>
    <s v="2-5 Miles"/>
    <x v="0"/>
    <n v="62"/>
    <s v="Old"/>
    <s v="Yes"/>
    <n v="0"/>
    <x v="2"/>
    <x v="1"/>
    <s v="Yes"/>
  </r>
  <r>
    <n v="28380"/>
    <s v="Single"/>
    <x v="0"/>
    <n v="10000"/>
    <n v="5"/>
    <s v="Partial High School"/>
    <x v="3"/>
    <s v="No"/>
    <n v="2"/>
    <s v="0-1 Miles"/>
    <x v="0"/>
    <n v="41"/>
    <s v="Middle Age"/>
    <s v="No"/>
    <n v="0"/>
    <x v="0"/>
    <x v="2"/>
    <s v="No"/>
  </r>
  <r>
    <n v="17891"/>
    <s v="Married"/>
    <x v="0"/>
    <n v="10000"/>
    <n v="2"/>
    <s v="Partial College"/>
    <x v="3"/>
    <s v="Yes"/>
    <n v="1"/>
    <s v="0-1 Miles"/>
    <x v="0"/>
    <n v="50"/>
    <s v="Middle Age"/>
    <s v="Yes"/>
    <n v="0"/>
    <x v="1"/>
    <x v="2"/>
    <s v="Yes"/>
  </r>
  <r>
    <n v="27832"/>
    <s v="Single"/>
    <x v="0"/>
    <n v="30000"/>
    <n v="0"/>
    <s v="Partial College"/>
    <x v="1"/>
    <s v="No"/>
    <n v="1"/>
    <s v="2-5 Miles"/>
    <x v="0"/>
    <n v="30"/>
    <s v="Adolescent"/>
    <s v="No"/>
    <n v="0"/>
    <x v="0"/>
    <x v="0"/>
    <s v="No"/>
  </r>
  <r>
    <n v="26863"/>
    <s v="Single"/>
    <x v="1"/>
    <n v="20000"/>
    <n v="0"/>
    <s v="High School"/>
    <x v="3"/>
    <s v="No"/>
    <n v="1"/>
    <s v="2-5 Miles"/>
    <x v="0"/>
    <n v="28"/>
    <s v="Adolescent"/>
    <s v="No"/>
    <n v="0"/>
    <x v="3"/>
    <x v="2"/>
    <s v="No"/>
  </r>
  <r>
    <n v="16259"/>
    <s v="Single"/>
    <x v="0"/>
    <n v="10000"/>
    <n v="4"/>
    <s v="Partial High School"/>
    <x v="3"/>
    <s v="Yes"/>
    <n v="2"/>
    <s v="0-1 Miles"/>
    <x v="0"/>
    <n v="40"/>
    <s v="Middle Age"/>
    <s v="Yes"/>
    <n v="0"/>
    <x v="0"/>
    <x v="2"/>
    <s v="Yes"/>
  </r>
  <r>
    <n v="27803"/>
    <s v="Single"/>
    <x v="0"/>
    <n v="30000"/>
    <n v="2"/>
    <s v="Partial College"/>
    <x v="1"/>
    <s v="No"/>
    <n v="0"/>
    <s v="0-1 Miles"/>
    <x v="0"/>
    <n v="43"/>
    <s v="Middle Age"/>
    <s v="No"/>
    <n v="0"/>
    <x v="0"/>
    <x v="0"/>
    <s v="No"/>
  </r>
  <r>
    <n v="14347"/>
    <s v="Single"/>
    <x v="0"/>
    <n v="40000"/>
    <n v="2"/>
    <s v="Bachelors"/>
    <x v="4"/>
    <s v="Yes"/>
    <n v="2"/>
    <s v="5-10 Miles"/>
    <x v="1"/>
    <n v="65"/>
    <s v="Old"/>
    <s v="Yes"/>
    <n v="0"/>
    <x v="2"/>
    <x v="0"/>
    <s v="Yes"/>
  </r>
  <r>
    <n v="17703"/>
    <s v="Married"/>
    <x v="0"/>
    <n v="10000"/>
    <n v="1"/>
    <s v="Graduate Degree"/>
    <x v="3"/>
    <s v="Yes"/>
    <n v="0"/>
    <s v="0-1 Miles"/>
    <x v="0"/>
    <n v="40"/>
    <s v="Middle Age"/>
    <s v="No"/>
    <n v="0"/>
    <x v="0"/>
    <x v="2"/>
    <s v="No"/>
  </r>
  <r>
    <n v="17185"/>
    <s v="Married"/>
    <x v="0"/>
    <n v="170000"/>
    <n v="4"/>
    <s v="Partial College"/>
    <x v="2"/>
    <s v="No"/>
    <n v="3"/>
    <s v="5-10 Miles"/>
    <x v="0"/>
    <n v="48"/>
    <s v="Middle Age"/>
    <s v="Yes"/>
    <n v="0"/>
    <x v="1"/>
    <x v="1"/>
    <s v="Yes"/>
  </r>
  <r>
    <n v="29380"/>
    <s v="Married"/>
    <x v="0"/>
    <n v="20000"/>
    <n v="3"/>
    <s v="High School"/>
    <x v="3"/>
    <s v="Yes"/>
    <n v="0"/>
    <s v="0-1 Miles"/>
    <x v="0"/>
    <n v="41"/>
    <s v="Middle Age"/>
    <s v="Yes"/>
    <n v="0"/>
    <x v="0"/>
    <x v="2"/>
    <s v="Yes"/>
  </r>
  <r>
    <n v="23986"/>
    <s v="Married"/>
    <x v="0"/>
    <n v="20000"/>
    <n v="1"/>
    <s v="Bachelors"/>
    <x v="1"/>
    <s v="Yes"/>
    <n v="0"/>
    <s v="0-1 Miles"/>
    <x v="0"/>
    <n v="66"/>
    <s v="Old"/>
    <s v="Yes"/>
    <n v="0"/>
    <x v="2"/>
    <x v="2"/>
    <s v="Yes"/>
  </r>
  <r>
    <n v="24466"/>
    <s v="Married"/>
    <x v="0"/>
    <n v="60000"/>
    <n v="1"/>
    <s v="Partial College"/>
    <x v="0"/>
    <s v="Yes"/>
    <n v="1"/>
    <s v="5-10 Miles"/>
    <x v="1"/>
    <n v="46"/>
    <s v="Middle Age"/>
    <s v="Yes"/>
    <n v="0"/>
    <x v="1"/>
    <x v="0"/>
    <s v="Yes"/>
  </r>
  <r>
    <n v="29097"/>
    <s v="Single"/>
    <x v="0"/>
    <n v="40000"/>
    <n v="2"/>
    <s v="Partial College"/>
    <x v="0"/>
    <s v="Yes"/>
    <n v="2"/>
    <s v="5-10 Miles"/>
    <x v="1"/>
    <n v="52"/>
    <s v="Middle Age"/>
    <s v="Yes"/>
    <n v="0"/>
    <x v="1"/>
    <x v="0"/>
    <s v="Yes"/>
  </r>
  <r>
    <n v="19487"/>
    <s v="Married"/>
    <x v="1"/>
    <n v="30000"/>
    <n v="2"/>
    <s v="Partial College"/>
    <x v="1"/>
    <s v="No"/>
    <n v="2"/>
    <s v="0-1 Miles"/>
    <x v="0"/>
    <n v="42"/>
    <s v="Middle Age"/>
    <s v="No"/>
    <n v="0"/>
    <x v="0"/>
    <x v="0"/>
    <s v="No"/>
  </r>
  <r>
    <n v="14939"/>
    <s v="Single"/>
    <x v="1"/>
    <n v="40000"/>
    <n v="0"/>
    <s v="Bachelors"/>
    <x v="1"/>
    <s v="Yes"/>
    <n v="0"/>
    <s v="0-1 Miles"/>
    <x v="0"/>
    <n v="39"/>
    <s v="Middle Age"/>
    <s v="Yes"/>
    <n v="0"/>
    <x v="0"/>
    <x v="0"/>
    <s v="Yes"/>
  </r>
  <r>
    <n v="13826"/>
    <s v="Single"/>
    <x v="0"/>
    <n v="30000"/>
    <n v="0"/>
    <s v="Partial College"/>
    <x v="1"/>
    <s v="No"/>
    <n v="1"/>
    <s v="0-1 Miles"/>
    <x v="0"/>
    <n v="28"/>
    <s v="Adolescent"/>
    <s v="No"/>
    <n v="0"/>
    <x v="3"/>
    <x v="0"/>
    <s v="No"/>
  </r>
  <r>
    <n v="20619"/>
    <s v="Single"/>
    <x v="1"/>
    <n v="80000"/>
    <n v="0"/>
    <s v="Bachelors"/>
    <x v="2"/>
    <s v="No"/>
    <n v="4"/>
    <s v="10+ Miles"/>
    <x v="1"/>
    <n v="35"/>
    <s v="Middle Age"/>
    <s v="No"/>
    <n v="0"/>
    <x v="0"/>
    <x v="1"/>
    <s v="No"/>
  </r>
  <r>
    <n v="12558"/>
    <s v="Married"/>
    <x v="0"/>
    <n v="20000"/>
    <n v="1"/>
    <s v="Bachelors"/>
    <x v="1"/>
    <s v="Yes"/>
    <n v="0"/>
    <s v="0-1 Miles"/>
    <x v="0"/>
    <n v="65"/>
    <s v="Old"/>
    <s v="No"/>
    <n v="0"/>
    <x v="2"/>
    <x v="2"/>
    <s v="No"/>
  </r>
  <r>
    <n v="24871"/>
    <s v="Single"/>
    <x v="0"/>
    <n v="90000"/>
    <n v="4"/>
    <s v="High School"/>
    <x v="4"/>
    <s v="No"/>
    <n v="3"/>
    <s v="5-10 Miles"/>
    <x v="0"/>
    <n v="56"/>
    <s v="Old"/>
    <s v="No"/>
    <n v="0"/>
    <x v="1"/>
    <x v="1"/>
    <s v="No"/>
  </r>
  <r>
    <n v="17319"/>
    <s v="Single"/>
    <x v="0"/>
    <n v="70000"/>
    <n v="0"/>
    <s v="Bachelors"/>
    <x v="2"/>
    <s v="No"/>
    <n v="1"/>
    <s v="5-10 Miles"/>
    <x v="1"/>
    <n v="42"/>
    <s v="Middle Age"/>
    <s v="No"/>
    <n v="0"/>
    <x v="0"/>
    <x v="0"/>
    <s v="No"/>
  </r>
  <r>
    <n v="28906"/>
    <s v="Married"/>
    <x v="1"/>
    <n v="80000"/>
    <n v="4"/>
    <s v="High School"/>
    <x v="2"/>
    <s v="Yes"/>
    <n v="2"/>
    <s v="10+ Miles"/>
    <x v="0"/>
    <n v="54"/>
    <s v="Middle Age"/>
    <s v="No"/>
    <n v="0"/>
    <x v="1"/>
    <x v="1"/>
    <s v="No"/>
  </r>
  <r>
    <n v="12808"/>
    <s v="Married"/>
    <x v="1"/>
    <n v="40000"/>
    <n v="0"/>
    <s v="Bachelors"/>
    <x v="1"/>
    <s v="Yes"/>
    <n v="0"/>
    <s v="0-1 Miles"/>
    <x v="0"/>
    <n v="38"/>
    <s v="Middle Age"/>
    <s v="Yes"/>
    <n v="0"/>
    <x v="0"/>
    <x v="0"/>
    <s v="Yes"/>
  </r>
  <r>
    <n v="20567"/>
    <s v="Married"/>
    <x v="1"/>
    <n v="130000"/>
    <n v="4"/>
    <s v="Partial College"/>
    <x v="2"/>
    <s v="No"/>
    <n v="4"/>
    <s v="5-10 Miles"/>
    <x v="0"/>
    <n v="61"/>
    <s v="Old"/>
    <s v="Yes"/>
    <n v="0"/>
    <x v="2"/>
    <x v="1"/>
    <s v="Yes"/>
  </r>
  <r>
    <n v="25502"/>
    <s v="Married"/>
    <x v="0"/>
    <n v="40000"/>
    <n v="1"/>
    <s v="Bachelors"/>
    <x v="0"/>
    <s v="Yes"/>
    <n v="0"/>
    <s v="0-1 Miles"/>
    <x v="0"/>
    <n v="43"/>
    <s v="Middle Age"/>
    <s v="Yes"/>
    <n v="0"/>
    <x v="0"/>
    <x v="0"/>
    <s v="Yes"/>
  </r>
  <r>
    <n v="15580"/>
    <s v="Married"/>
    <x v="1"/>
    <n v="60000"/>
    <n v="2"/>
    <s v="Bachelors"/>
    <x v="2"/>
    <s v="Yes"/>
    <n v="1"/>
    <s v="2-5 Miles"/>
    <x v="1"/>
    <n v="38"/>
    <s v="Middle Age"/>
    <s v="Yes"/>
    <n v="0"/>
    <x v="0"/>
    <x v="0"/>
    <s v="Yes"/>
  </r>
  <r>
    <n v="24185"/>
    <s v="Single"/>
    <x v="0"/>
    <n v="10000"/>
    <n v="1"/>
    <s v="High School"/>
    <x v="3"/>
    <s v="No"/>
    <n v="1"/>
    <s v="1-2 Miles"/>
    <x v="0"/>
    <n v="45"/>
    <s v="Middle Age"/>
    <s v="No"/>
    <n v="0"/>
    <x v="0"/>
    <x v="2"/>
    <s v="No"/>
  </r>
  <r>
    <n v="19291"/>
    <s v="Single"/>
    <x v="0"/>
    <n v="10000"/>
    <n v="2"/>
    <s v="High School"/>
    <x v="3"/>
    <s v="Yes"/>
    <n v="0"/>
    <s v="0-1 Miles"/>
    <x v="0"/>
    <n v="35"/>
    <s v="Middle Age"/>
    <s v="No"/>
    <n v="0"/>
    <x v="0"/>
    <x v="2"/>
    <s v="No"/>
  </r>
  <r>
    <n v="16713"/>
    <s v="Married"/>
    <x v="1"/>
    <n v="40000"/>
    <n v="2"/>
    <s v="Bachelors"/>
    <x v="4"/>
    <s v="Yes"/>
    <n v="1"/>
    <s v="0-1 Miles"/>
    <x v="1"/>
    <n v="52"/>
    <s v="Middle Age"/>
    <s v="Yes"/>
    <n v="0"/>
    <x v="1"/>
    <x v="0"/>
    <s v="Yes"/>
  </r>
  <r>
    <n v="16185"/>
    <s v="Single"/>
    <x v="1"/>
    <n v="60000"/>
    <n v="4"/>
    <s v="Bachelors"/>
    <x v="2"/>
    <s v="Yes"/>
    <n v="3"/>
    <s v="10+ Miles"/>
    <x v="1"/>
    <n v="41"/>
    <s v="Middle Age"/>
    <s v="No"/>
    <n v="0"/>
    <x v="0"/>
    <x v="0"/>
    <s v="No"/>
  </r>
  <r>
    <n v="14927"/>
    <s v="Married"/>
    <x v="0"/>
    <n v="30000"/>
    <n v="1"/>
    <s v="Bachelors"/>
    <x v="1"/>
    <s v="Yes"/>
    <n v="0"/>
    <s v="0-1 Miles"/>
    <x v="0"/>
    <n v="37"/>
    <s v="Middle Age"/>
    <s v="Yes"/>
    <n v="0"/>
    <x v="0"/>
    <x v="0"/>
    <s v="Yes"/>
  </r>
  <r>
    <n v="29337"/>
    <s v="Single"/>
    <x v="1"/>
    <n v="30000"/>
    <n v="2"/>
    <s v="Partial College"/>
    <x v="1"/>
    <s v="Yes"/>
    <n v="2"/>
    <s v="5-10 Miles"/>
    <x v="1"/>
    <n v="68"/>
    <s v="Old"/>
    <s v="No"/>
    <n v="0"/>
    <x v="2"/>
    <x v="0"/>
    <s v="No"/>
  </r>
  <r>
    <n v="29355"/>
    <s v="Married"/>
    <x v="0"/>
    <n v="40000"/>
    <n v="0"/>
    <s v="Graduate Degree"/>
    <x v="1"/>
    <s v="Yes"/>
    <n v="0"/>
    <s v="0-1 Miles"/>
    <x v="0"/>
    <n v="37"/>
    <s v="Middle Age"/>
    <s v="Yes"/>
    <n v="0"/>
    <x v="0"/>
    <x v="0"/>
    <s v="Yes"/>
  </r>
  <r>
    <n v="25303"/>
    <s v="Single"/>
    <x v="1"/>
    <n v="30000"/>
    <n v="0"/>
    <s v="High School"/>
    <x v="3"/>
    <s v="Yes"/>
    <n v="1"/>
    <s v="2-5 Miles"/>
    <x v="0"/>
    <n v="33"/>
    <s v="Middle Age"/>
    <s v="Yes"/>
    <n v="0"/>
    <x v="0"/>
    <x v="0"/>
    <s v="Yes"/>
  </r>
  <r>
    <n v="14813"/>
    <s v="Single"/>
    <x v="0"/>
    <n v="20000"/>
    <n v="4"/>
    <s v="High School"/>
    <x v="3"/>
    <s v="Yes"/>
    <n v="1"/>
    <s v="0-1 Miles"/>
    <x v="0"/>
    <n v="43"/>
    <s v="Middle Age"/>
    <s v="Yes"/>
    <n v="0"/>
    <x v="0"/>
    <x v="2"/>
    <s v="Yes"/>
  </r>
  <r>
    <n v="16438"/>
    <s v="Married"/>
    <x v="0"/>
    <n v="10000"/>
    <n v="0"/>
    <s v="Partial High School"/>
    <x v="3"/>
    <s v="No"/>
    <n v="2"/>
    <s v="0-1 Miles"/>
    <x v="0"/>
    <n v="30"/>
    <s v="Adolescent"/>
    <s v="No"/>
    <n v="0"/>
    <x v="0"/>
    <x v="2"/>
    <s v="No"/>
  </r>
  <r>
    <n v="14238"/>
    <s v="Married"/>
    <x v="1"/>
    <n v="120000"/>
    <n v="0"/>
    <s v="Partial High School"/>
    <x v="2"/>
    <s v="Yes"/>
    <n v="4"/>
    <s v="10+ Miles"/>
    <x v="1"/>
    <n v="36"/>
    <s v="Middle Age"/>
    <s v="Yes"/>
    <n v="0"/>
    <x v="0"/>
    <x v="1"/>
    <s v="Yes"/>
  </r>
  <r>
    <n v="16200"/>
    <s v="Single"/>
    <x v="0"/>
    <n v="10000"/>
    <n v="0"/>
    <s v="Partial High School"/>
    <x v="3"/>
    <s v="No"/>
    <n v="2"/>
    <s v="0-1 Miles"/>
    <x v="0"/>
    <n v="35"/>
    <s v="Middle Age"/>
    <s v="No"/>
    <n v="0"/>
    <x v="0"/>
    <x v="2"/>
    <s v="No"/>
  </r>
  <r>
    <n v="24857"/>
    <s v="Married"/>
    <x v="0"/>
    <n v="130000"/>
    <n v="3"/>
    <s v="High School"/>
    <x v="2"/>
    <s v="Yes"/>
    <n v="4"/>
    <s v="0-1 Miles"/>
    <x v="0"/>
    <n v="52"/>
    <s v="Middle Age"/>
    <s v="No"/>
    <n v="0"/>
    <x v="1"/>
    <x v="1"/>
    <s v="No"/>
  </r>
  <r>
    <n v="26956"/>
    <s v="Single"/>
    <x v="0"/>
    <n v="20000"/>
    <n v="0"/>
    <s v="Partial College"/>
    <x v="3"/>
    <s v="No"/>
    <n v="1"/>
    <s v="2-5 Miles"/>
    <x v="0"/>
    <n v="36"/>
    <s v="Middle Age"/>
    <s v="Yes"/>
    <n v="0"/>
    <x v="0"/>
    <x v="2"/>
    <s v="Yes"/>
  </r>
  <r>
    <n v="14517"/>
    <s v="Married"/>
    <x v="0"/>
    <n v="20000"/>
    <n v="3"/>
    <s v="High School"/>
    <x v="0"/>
    <s v="No"/>
    <n v="2"/>
    <s v="1-2 Miles"/>
    <x v="1"/>
    <n v="62"/>
    <s v="Old"/>
    <s v="No"/>
    <n v="0"/>
    <x v="2"/>
    <x v="2"/>
    <s v="No"/>
  </r>
  <r>
    <n v="12678"/>
    <s v="Single"/>
    <x v="0"/>
    <n v="130000"/>
    <n v="4"/>
    <s v="High School"/>
    <x v="4"/>
    <s v="Yes"/>
    <n v="4"/>
    <s v="0-1 Miles"/>
    <x v="1"/>
    <n v="31"/>
    <s v="Middle Age"/>
    <s v="No"/>
    <n v="0"/>
    <x v="0"/>
    <x v="1"/>
    <s v="No"/>
  </r>
  <r>
    <n v="16188"/>
    <s v="Single"/>
    <x v="0"/>
    <n v="20000"/>
    <n v="0"/>
    <s v="Partial High School"/>
    <x v="3"/>
    <s v="No"/>
    <n v="2"/>
    <s v="1-2 Miles"/>
    <x v="0"/>
    <n v="26"/>
    <s v="Adolescent"/>
    <s v="No"/>
    <n v="0"/>
    <x v="3"/>
    <x v="2"/>
    <s v="No"/>
  </r>
  <r>
    <n v="27969"/>
    <s v="Married"/>
    <x v="1"/>
    <n v="80000"/>
    <n v="0"/>
    <s v="Bachelors"/>
    <x v="2"/>
    <s v="Yes"/>
    <n v="2"/>
    <s v="10+ Miles"/>
    <x v="1"/>
    <n v="29"/>
    <s v="Adolescent"/>
    <s v="Yes"/>
    <n v="0"/>
    <x v="3"/>
    <x v="1"/>
    <s v="Yes"/>
  </r>
  <r>
    <n v="15752"/>
    <s v="Married"/>
    <x v="1"/>
    <n v="80000"/>
    <n v="2"/>
    <s v="High School"/>
    <x v="0"/>
    <s v="No"/>
    <n v="2"/>
    <s v="1-2 Miles"/>
    <x v="1"/>
    <n v="50"/>
    <s v="Middle Age"/>
    <s v="Yes"/>
    <n v="0"/>
    <x v="1"/>
    <x v="1"/>
    <s v="Yes"/>
  </r>
  <r>
    <n v="27745"/>
    <s v="Single"/>
    <x v="1"/>
    <n v="40000"/>
    <n v="2"/>
    <s v="Bachelors"/>
    <x v="4"/>
    <s v="Yes"/>
    <n v="2"/>
    <s v="5-10 Miles"/>
    <x v="1"/>
    <n v="63"/>
    <s v="Old"/>
    <s v="Yes"/>
    <n v="0"/>
    <x v="2"/>
    <x v="0"/>
    <s v="Yes"/>
  </r>
  <r>
    <n v="20828"/>
    <s v="Married"/>
    <x v="0"/>
    <n v="30000"/>
    <n v="4"/>
    <s v="Graduate Degree"/>
    <x v="1"/>
    <s v="Yes"/>
    <n v="0"/>
    <s v="0-1 Miles"/>
    <x v="0"/>
    <n v="45"/>
    <s v="Middle Age"/>
    <s v="Yes"/>
    <n v="0"/>
    <x v="0"/>
    <x v="0"/>
    <s v="Yes"/>
  </r>
  <r>
    <n v="19461"/>
    <s v="Single"/>
    <x v="0"/>
    <n v="10000"/>
    <n v="4"/>
    <s v="Partial High School"/>
    <x v="3"/>
    <s v="Yes"/>
    <n v="2"/>
    <s v="0-1 Miles"/>
    <x v="0"/>
    <n v="40"/>
    <s v="Middle Age"/>
    <s v="No"/>
    <n v="0"/>
    <x v="0"/>
    <x v="2"/>
    <s v="No"/>
  </r>
  <r>
    <n v="26941"/>
    <s v="Married"/>
    <x v="1"/>
    <n v="30000"/>
    <n v="0"/>
    <s v="Bachelors"/>
    <x v="1"/>
    <s v="Yes"/>
    <n v="0"/>
    <s v="0-1 Miles"/>
    <x v="0"/>
    <n v="47"/>
    <s v="Middle Age"/>
    <s v="Yes"/>
    <n v="0"/>
    <x v="1"/>
    <x v="0"/>
    <s v="Yes"/>
  </r>
  <r>
    <n v="28412"/>
    <s v="Single"/>
    <x v="1"/>
    <n v="20000"/>
    <n v="0"/>
    <s v="High School"/>
    <x v="3"/>
    <s v="No"/>
    <n v="1"/>
    <s v="2-5 Miles"/>
    <x v="0"/>
    <n v="29"/>
    <s v="Adolescent"/>
    <s v="No"/>
    <n v="0"/>
    <x v="3"/>
    <x v="2"/>
    <s v="No"/>
  </r>
  <r>
    <n v="24485"/>
    <s v="Single"/>
    <x v="1"/>
    <n v="40000"/>
    <n v="2"/>
    <s v="Bachelors"/>
    <x v="4"/>
    <s v="No"/>
    <n v="1"/>
    <s v="5-10 Miles"/>
    <x v="1"/>
    <n v="52"/>
    <s v="Middle Age"/>
    <s v="Yes"/>
    <n v="0"/>
    <x v="1"/>
    <x v="0"/>
    <s v="Yes"/>
  </r>
  <r>
    <n v="16514"/>
    <s v="Single"/>
    <x v="1"/>
    <n v="10000"/>
    <n v="0"/>
    <s v="Partial College"/>
    <x v="3"/>
    <s v="Yes"/>
    <n v="1"/>
    <s v="1-2 Miles"/>
    <x v="1"/>
    <n v="26"/>
    <s v="Adolescent"/>
    <s v="Yes"/>
    <n v="0"/>
    <x v="3"/>
    <x v="2"/>
    <s v="Yes"/>
  </r>
  <r>
    <n v="17191"/>
    <s v="Single"/>
    <x v="1"/>
    <n v="130000"/>
    <n v="3"/>
    <s v="Partial College"/>
    <x v="2"/>
    <s v="No"/>
    <n v="3"/>
    <s v="0-1 Miles"/>
    <x v="0"/>
    <n v="51"/>
    <s v="Middle Age"/>
    <s v="Yes"/>
    <n v="0"/>
    <x v="1"/>
    <x v="1"/>
    <s v="Yes"/>
  </r>
  <r>
    <n v="19608"/>
    <s v="Married"/>
    <x v="1"/>
    <n v="80000"/>
    <n v="5"/>
    <s v="Bachelors"/>
    <x v="2"/>
    <s v="Yes"/>
    <n v="4"/>
    <s v="1-2 Miles"/>
    <x v="1"/>
    <n v="40"/>
    <s v="Middle Age"/>
    <s v="No"/>
    <n v="0"/>
    <x v="0"/>
    <x v="1"/>
    <s v="No"/>
  </r>
  <r>
    <n v="24119"/>
    <s v="Single"/>
    <x v="1"/>
    <n v="30000"/>
    <n v="0"/>
    <s v="Partial College"/>
    <x v="1"/>
    <s v="No"/>
    <n v="1"/>
    <s v="2-5 Miles"/>
    <x v="0"/>
    <n v="29"/>
    <s v="Adolescent"/>
    <s v="No"/>
    <n v="0"/>
    <x v="3"/>
    <x v="0"/>
    <s v="No"/>
  </r>
  <r>
    <n v="25458"/>
    <s v="Married"/>
    <x v="1"/>
    <n v="20000"/>
    <n v="1"/>
    <s v="High School"/>
    <x v="3"/>
    <s v="No"/>
    <n v="1"/>
    <s v="1-2 Miles"/>
    <x v="0"/>
    <n v="40"/>
    <s v="Middle Age"/>
    <s v="Yes"/>
    <n v="0"/>
    <x v="0"/>
    <x v="2"/>
    <s v="Yes"/>
  </r>
  <r>
    <n v="26886"/>
    <s v="Single"/>
    <x v="0"/>
    <n v="30000"/>
    <n v="0"/>
    <s v="Partial College"/>
    <x v="1"/>
    <s v="No"/>
    <n v="1"/>
    <s v="0-1 Miles"/>
    <x v="0"/>
    <n v="29"/>
    <s v="Adolescent"/>
    <s v="Yes"/>
    <n v="0"/>
    <x v="3"/>
    <x v="0"/>
    <s v="Yes"/>
  </r>
  <r>
    <n v="28436"/>
    <s v="Single"/>
    <x v="1"/>
    <n v="30000"/>
    <n v="0"/>
    <s v="Partial College"/>
    <x v="1"/>
    <s v="No"/>
    <n v="1"/>
    <s v="0-1 Miles"/>
    <x v="0"/>
    <n v="30"/>
    <s v="Adolescent"/>
    <s v="Yes"/>
    <n v="0"/>
    <x v="0"/>
    <x v="0"/>
    <s v="Yes"/>
  </r>
  <r>
    <n v="19562"/>
    <s v="Single"/>
    <x v="0"/>
    <n v="60000"/>
    <n v="2"/>
    <s v="Bachelors"/>
    <x v="2"/>
    <s v="Yes"/>
    <n v="1"/>
    <s v="2-5 Miles"/>
    <x v="1"/>
    <n v="37"/>
    <s v="Middle Age"/>
    <s v="Yes"/>
    <n v="0"/>
    <x v="0"/>
    <x v="0"/>
    <s v="Yes"/>
  </r>
  <r>
    <n v="15608"/>
    <s v="Single"/>
    <x v="0"/>
    <n v="30000"/>
    <n v="0"/>
    <s v="Partial College"/>
    <x v="1"/>
    <s v="No"/>
    <n v="1"/>
    <s v="2-5 Miles"/>
    <x v="0"/>
    <n v="33"/>
    <s v="Middle Age"/>
    <s v="No"/>
    <n v="0"/>
    <x v="0"/>
    <x v="0"/>
    <s v="No"/>
  </r>
  <r>
    <n v="16487"/>
    <s v="Single"/>
    <x v="0"/>
    <n v="30000"/>
    <n v="3"/>
    <s v="High School"/>
    <x v="0"/>
    <s v="Yes"/>
    <n v="2"/>
    <s v="5-10 Miles"/>
    <x v="1"/>
    <n v="55"/>
    <s v="Old"/>
    <s v="No"/>
    <n v="0"/>
    <x v="1"/>
    <x v="0"/>
    <s v="No"/>
  </r>
  <r>
    <n v="17197"/>
    <s v="Single"/>
    <x v="0"/>
    <n v="90000"/>
    <n v="5"/>
    <s v="Partial College"/>
    <x v="2"/>
    <s v="Yes"/>
    <n v="2"/>
    <s v="10+ Miles"/>
    <x v="0"/>
    <n v="62"/>
    <s v="Old"/>
    <s v="No"/>
    <n v="0"/>
    <x v="2"/>
    <x v="1"/>
    <s v="No"/>
  </r>
  <r>
    <n v="12507"/>
    <s v="Married"/>
    <x v="1"/>
    <n v="30000"/>
    <n v="1"/>
    <s v="Partial College"/>
    <x v="1"/>
    <s v="Yes"/>
    <n v="1"/>
    <s v="0-1 Miles"/>
    <x v="0"/>
    <n v="43"/>
    <s v="Middle Age"/>
    <s v="No"/>
    <n v="0"/>
    <x v="0"/>
    <x v="0"/>
    <s v="No"/>
  </r>
  <r>
    <n v="23940"/>
    <s v="Married"/>
    <x v="1"/>
    <n v="40000"/>
    <n v="1"/>
    <s v="Bachelors"/>
    <x v="0"/>
    <s v="Yes"/>
    <n v="1"/>
    <s v="0-1 Miles"/>
    <x v="0"/>
    <n v="44"/>
    <s v="Middle Age"/>
    <s v="Yes"/>
    <n v="0"/>
    <x v="0"/>
    <x v="0"/>
    <s v="Yes"/>
  </r>
  <r>
    <n v="19441"/>
    <s v="Married"/>
    <x v="1"/>
    <n v="40000"/>
    <n v="0"/>
    <s v="Graduate Degree"/>
    <x v="1"/>
    <s v="Yes"/>
    <n v="0"/>
    <s v="0-1 Miles"/>
    <x v="0"/>
    <n v="25"/>
    <s v="Adolescent"/>
    <s v="Yes"/>
    <n v="0"/>
    <x v="3"/>
    <x v="0"/>
    <s v="Yes"/>
  </r>
  <r>
    <n v="26852"/>
    <s v="Married"/>
    <x v="0"/>
    <n v="20000"/>
    <n v="3"/>
    <s v="High School"/>
    <x v="3"/>
    <s v="Yes"/>
    <n v="2"/>
    <s v="0-1 Miles"/>
    <x v="0"/>
    <n v="43"/>
    <s v="Middle Age"/>
    <s v="No"/>
    <n v="0"/>
    <x v="0"/>
    <x v="2"/>
    <s v="No"/>
  </r>
  <r>
    <n v="12274"/>
    <s v="Single"/>
    <x v="1"/>
    <n v="10000"/>
    <n v="2"/>
    <s v="High School"/>
    <x v="3"/>
    <s v="Yes"/>
    <n v="0"/>
    <s v="0-1 Miles"/>
    <x v="0"/>
    <n v="35"/>
    <s v="Middle Age"/>
    <s v="No"/>
    <n v="0"/>
    <x v="0"/>
    <x v="2"/>
    <s v="No"/>
  </r>
  <r>
    <n v="20236"/>
    <s v="Single"/>
    <x v="1"/>
    <n v="60000"/>
    <n v="3"/>
    <s v="Bachelors"/>
    <x v="2"/>
    <s v="No"/>
    <n v="2"/>
    <s v="0-1 Miles"/>
    <x v="1"/>
    <n v="43"/>
    <s v="Middle Age"/>
    <s v="Yes"/>
    <n v="0"/>
    <x v="0"/>
    <x v="0"/>
    <s v="Yes"/>
  </r>
  <r>
    <n v="24149"/>
    <s v="Married"/>
    <x v="1"/>
    <n v="10000"/>
    <n v="2"/>
    <s v="Partial College"/>
    <x v="3"/>
    <s v="Yes"/>
    <n v="0"/>
    <s v="1-2 Miles"/>
    <x v="0"/>
    <n v="49"/>
    <s v="Middle Age"/>
    <s v="No"/>
    <n v="0"/>
    <x v="1"/>
    <x v="2"/>
    <s v="No"/>
  </r>
  <r>
    <n v="26139"/>
    <s v="Single"/>
    <x v="1"/>
    <n v="60000"/>
    <n v="1"/>
    <s v="Partial College"/>
    <x v="0"/>
    <s v="Yes"/>
    <n v="1"/>
    <s v="5-10 Miles"/>
    <x v="1"/>
    <n v="45"/>
    <s v="Middle Age"/>
    <s v="No"/>
    <n v="0"/>
    <x v="0"/>
    <x v="0"/>
    <s v="No"/>
  </r>
  <r>
    <n v="18491"/>
    <s v="Single"/>
    <x v="0"/>
    <n v="70000"/>
    <n v="2"/>
    <s v="High School"/>
    <x v="2"/>
    <s v="Yes"/>
    <n v="2"/>
    <s v="5-10 Miles"/>
    <x v="1"/>
    <n v="49"/>
    <s v="Middle Age"/>
    <s v="Yes"/>
    <n v="0"/>
    <x v="1"/>
    <x v="0"/>
    <s v="Yes"/>
  </r>
  <r>
    <n v="22707"/>
    <s v="Single"/>
    <x v="0"/>
    <n v="30000"/>
    <n v="0"/>
    <s v="Partial College"/>
    <x v="1"/>
    <s v="No"/>
    <n v="1"/>
    <s v="2-5 Miles"/>
    <x v="0"/>
    <n v="30"/>
    <s v="Adolescent"/>
    <s v="No"/>
    <n v="0"/>
    <x v="0"/>
    <x v="0"/>
    <s v="No"/>
  </r>
  <r>
    <n v="20430"/>
    <s v="Married"/>
    <x v="1"/>
    <n v="70000"/>
    <n v="2"/>
    <s v="Partial College"/>
    <x v="0"/>
    <s v="Yes"/>
    <n v="2"/>
    <s v="5-10 Miles"/>
    <x v="1"/>
    <n v="52"/>
    <s v="Middle Age"/>
    <s v="Yes"/>
    <n v="0"/>
    <x v="1"/>
    <x v="0"/>
    <s v="Yes"/>
  </r>
  <r>
    <n v="27494"/>
    <s v="Single"/>
    <x v="0"/>
    <n v="40000"/>
    <n v="2"/>
    <s v="Partial College"/>
    <x v="0"/>
    <s v="No"/>
    <n v="2"/>
    <s v="1-2 Miles"/>
    <x v="1"/>
    <n v="53"/>
    <s v="Middle Age"/>
    <s v="Yes"/>
    <n v="0"/>
    <x v="1"/>
    <x v="0"/>
    <s v="Yes"/>
  </r>
  <r>
    <n v="26829"/>
    <s v="Married"/>
    <x v="0"/>
    <n v="40000"/>
    <n v="0"/>
    <s v="Bachelors"/>
    <x v="1"/>
    <s v="Yes"/>
    <n v="0"/>
    <s v="0-1 Miles"/>
    <x v="0"/>
    <n v="38"/>
    <s v="Middle Age"/>
    <s v="Yes"/>
    <n v="0"/>
    <x v="0"/>
    <x v="0"/>
    <s v="Yes"/>
  </r>
  <r>
    <n v="28395"/>
    <s v="Single"/>
    <x v="1"/>
    <n v="40000"/>
    <n v="0"/>
    <s v="Bachelors"/>
    <x v="2"/>
    <s v="No"/>
    <n v="0"/>
    <s v="0-1 Miles"/>
    <x v="0"/>
    <n v="39"/>
    <s v="Middle Age"/>
    <s v="Yes"/>
    <n v="0"/>
    <x v="0"/>
    <x v="0"/>
    <s v="Yes"/>
  </r>
  <r>
    <n v="21006"/>
    <s v="Single"/>
    <x v="0"/>
    <n v="30000"/>
    <n v="1"/>
    <s v="Partial College"/>
    <x v="3"/>
    <s v="No"/>
    <n v="0"/>
    <s v="0-1 Miles"/>
    <x v="0"/>
    <n v="46"/>
    <s v="Middle Age"/>
    <s v="Yes"/>
    <n v="0"/>
    <x v="1"/>
    <x v="0"/>
    <s v="Yes"/>
  </r>
  <r>
    <n v="14682"/>
    <s v="Single"/>
    <x v="0"/>
    <n v="70000"/>
    <n v="0"/>
    <s v="Bachelors"/>
    <x v="2"/>
    <s v="No"/>
    <n v="1"/>
    <s v="5-10 Miles"/>
    <x v="1"/>
    <n v="38"/>
    <s v="Middle Age"/>
    <s v="No"/>
    <n v="0"/>
    <x v="0"/>
    <x v="0"/>
    <s v="No"/>
  </r>
  <r>
    <n v="17650"/>
    <s v="Single"/>
    <x v="0"/>
    <n v="40000"/>
    <n v="2"/>
    <s v="Partial College"/>
    <x v="1"/>
    <s v="Yes"/>
    <n v="2"/>
    <s v="1-2 Miles"/>
    <x v="0"/>
    <n v="35"/>
    <s v="Middle Age"/>
    <s v="No"/>
    <n v="0"/>
    <x v="0"/>
    <x v="0"/>
    <s v="No"/>
  </r>
  <r>
    <n v="29191"/>
    <s v="Single"/>
    <x v="0"/>
    <n v="130000"/>
    <n v="1"/>
    <s v="Graduate Degree"/>
    <x v="4"/>
    <s v="No"/>
    <n v="1"/>
    <s v="0-1 Miles"/>
    <x v="1"/>
    <n v="36"/>
    <s v="Middle Age"/>
    <s v="Yes"/>
    <n v="0"/>
    <x v="0"/>
    <x v="1"/>
    <s v="Yes"/>
  </r>
  <r>
    <n v="15030"/>
    <s v="Married"/>
    <x v="1"/>
    <n v="20000"/>
    <n v="0"/>
    <s v="Bachelors"/>
    <x v="1"/>
    <s v="Yes"/>
    <n v="0"/>
    <s v="0-1 Miles"/>
    <x v="1"/>
    <n v="26"/>
    <s v="Adolescent"/>
    <s v="Yes"/>
    <n v="0"/>
    <x v="3"/>
    <x v="2"/>
    <s v="Yes"/>
  </r>
  <r>
    <n v="24140"/>
    <s v="Single"/>
    <x v="1"/>
    <n v="10000"/>
    <n v="0"/>
    <s v="Graduate Degree"/>
    <x v="3"/>
    <s v="No"/>
    <n v="0"/>
    <s v="0-1 Miles"/>
    <x v="0"/>
    <n v="30"/>
    <s v="Adolescent"/>
    <s v="Yes"/>
    <n v="0"/>
    <x v="0"/>
    <x v="2"/>
    <s v="Yes"/>
  </r>
  <r>
    <n v="22496"/>
    <s v="Married"/>
    <x v="0"/>
    <n v="30000"/>
    <n v="1"/>
    <s v="Bachelors"/>
    <x v="0"/>
    <s v="Yes"/>
    <n v="2"/>
    <s v="0-1 Miles"/>
    <x v="0"/>
    <n v="42"/>
    <s v="Middle Age"/>
    <s v="No"/>
    <n v="0"/>
    <x v="0"/>
    <x v="0"/>
    <s v="No"/>
  </r>
  <r>
    <n v="24065"/>
    <s v="Single"/>
    <x v="0"/>
    <n v="20000"/>
    <n v="0"/>
    <s v="High School"/>
    <x v="3"/>
    <s v="Yes"/>
    <n v="0"/>
    <s v="0-1 Miles"/>
    <x v="0"/>
    <n v="40"/>
    <s v="Middle Age"/>
    <s v="Yes"/>
    <n v="0"/>
    <x v="0"/>
    <x v="2"/>
    <s v="Yes"/>
  </r>
  <r>
    <n v="19914"/>
    <s v="Married"/>
    <x v="1"/>
    <n v="80000"/>
    <n v="5"/>
    <s v="Bachelors"/>
    <x v="4"/>
    <s v="Yes"/>
    <n v="2"/>
    <s v="2-5 Miles"/>
    <x v="0"/>
    <n v="62"/>
    <s v="Old"/>
    <s v="No"/>
    <n v="0"/>
    <x v="2"/>
    <x v="1"/>
    <s v="No"/>
  </r>
  <r>
    <n v="12871"/>
    <s v="Single"/>
    <x v="0"/>
    <n v="30000"/>
    <n v="0"/>
    <s v="Partial College"/>
    <x v="1"/>
    <s v="No"/>
    <n v="1"/>
    <s v="2-5 Miles"/>
    <x v="0"/>
    <n v="29"/>
    <s v="Adolescent"/>
    <s v="No"/>
    <n v="0"/>
    <x v="3"/>
    <x v="0"/>
    <s v="No"/>
  </r>
  <r>
    <n v="22988"/>
    <s v="Married"/>
    <x v="0"/>
    <n v="40000"/>
    <n v="2"/>
    <s v="Bachelors"/>
    <x v="4"/>
    <s v="Yes"/>
    <n v="2"/>
    <s v="5-10 Miles"/>
    <x v="1"/>
    <n v="66"/>
    <s v="Old"/>
    <s v="Yes"/>
    <n v="0"/>
    <x v="2"/>
    <x v="0"/>
    <s v="Yes"/>
  </r>
  <r>
    <n v="15922"/>
    <s v="Married"/>
    <x v="1"/>
    <n v="150000"/>
    <n v="2"/>
    <s v="High School"/>
    <x v="2"/>
    <s v="Yes"/>
    <n v="4"/>
    <s v="0-1 Miles"/>
    <x v="0"/>
    <n v="48"/>
    <s v="Middle Age"/>
    <s v="No"/>
    <n v="0"/>
    <x v="1"/>
    <x v="1"/>
    <s v="No"/>
  </r>
  <r>
    <n v="12344"/>
    <s v="Single"/>
    <x v="0"/>
    <n v="80000"/>
    <n v="0"/>
    <s v="Bachelors"/>
    <x v="2"/>
    <s v="No"/>
    <n v="3"/>
    <s v="10+ Miles"/>
    <x v="1"/>
    <n v="31"/>
    <s v="Middle Age"/>
    <s v="No"/>
    <n v="0"/>
    <x v="0"/>
    <x v="1"/>
    <s v="No"/>
  </r>
  <r>
    <n v="23627"/>
    <s v="Single"/>
    <x v="0"/>
    <n v="100000"/>
    <n v="3"/>
    <s v="Partial College"/>
    <x v="4"/>
    <s v="No"/>
    <n v="4"/>
    <s v="5-10 Miles"/>
    <x v="0"/>
    <n v="56"/>
    <s v="Old"/>
    <s v="No"/>
    <n v="0"/>
    <x v="1"/>
    <x v="1"/>
    <s v="No"/>
  </r>
  <r>
    <n v="27775"/>
    <s v="Single"/>
    <x v="0"/>
    <n v="40000"/>
    <n v="0"/>
    <s v="Bachelors"/>
    <x v="1"/>
    <s v="No"/>
    <n v="0"/>
    <s v="0-1 Miles"/>
    <x v="0"/>
    <n v="38"/>
    <s v="Middle Age"/>
    <s v="Yes"/>
    <n v="0"/>
    <x v="0"/>
    <x v="0"/>
    <s v="Yes"/>
  </r>
  <r>
    <n v="29301"/>
    <s v="Married"/>
    <x v="1"/>
    <n v="80000"/>
    <n v="5"/>
    <s v="Bachelors"/>
    <x v="2"/>
    <s v="Yes"/>
    <n v="4"/>
    <s v="1-2 Miles"/>
    <x v="1"/>
    <n v="40"/>
    <s v="Middle Age"/>
    <s v="No"/>
    <n v="0"/>
    <x v="0"/>
    <x v="1"/>
    <s v="No"/>
  </r>
  <r>
    <n v="12716"/>
    <s v="Single"/>
    <x v="1"/>
    <n v="30000"/>
    <n v="0"/>
    <s v="Partial College"/>
    <x v="1"/>
    <s v="Yes"/>
    <n v="1"/>
    <s v="2-5 Miles"/>
    <x v="0"/>
    <n v="32"/>
    <s v="Middle Age"/>
    <s v="No"/>
    <n v="0"/>
    <x v="0"/>
    <x v="0"/>
    <s v="No"/>
  </r>
  <r>
    <n v="12472"/>
    <s v="Married"/>
    <x v="1"/>
    <n v="30000"/>
    <n v="1"/>
    <s v="Bachelors"/>
    <x v="1"/>
    <s v="Yes"/>
    <n v="1"/>
    <s v="2-5 Miles"/>
    <x v="0"/>
    <n v="39"/>
    <s v="Middle Age"/>
    <s v="No"/>
    <n v="0"/>
    <x v="0"/>
    <x v="0"/>
    <s v="No"/>
  </r>
  <r>
    <n v="20970"/>
    <s v="Single"/>
    <x v="1"/>
    <n v="10000"/>
    <n v="2"/>
    <s v="Partial College"/>
    <x v="3"/>
    <s v="Yes"/>
    <n v="1"/>
    <s v="0-1 Miles"/>
    <x v="0"/>
    <n v="52"/>
    <s v="Middle Age"/>
    <s v="Yes"/>
    <n v="0"/>
    <x v="1"/>
    <x v="2"/>
    <s v="Yes"/>
  </r>
  <r>
    <n v="26818"/>
    <s v="Single"/>
    <x v="1"/>
    <n v="10000"/>
    <n v="3"/>
    <s v="High School"/>
    <x v="3"/>
    <s v="Yes"/>
    <n v="1"/>
    <s v="0-1 Miles"/>
    <x v="0"/>
    <n v="39"/>
    <s v="Middle Age"/>
    <s v="Yes"/>
    <n v="0"/>
    <x v="0"/>
    <x v="2"/>
    <s v="Yes"/>
  </r>
  <r>
    <n v="12993"/>
    <s v="Married"/>
    <x v="1"/>
    <n v="60000"/>
    <n v="2"/>
    <s v="Bachelors"/>
    <x v="2"/>
    <s v="Yes"/>
    <n v="1"/>
    <s v="2-5 Miles"/>
    <x v="1"/>
    <n v="37"/>
    <s v="Middle Age"/>
    <s v="No"/>
    <n v="0"/>
    <x v="0"/>
    <x v="0"/>
    <s v="No"/>
  </r>
  <r>
    <n v="14192"/>
    <s v="Married"/>
    <x v="1"/>
    <n v="90000"/>
    <n v="4"/>
    <s v="High School"/>
    <x v="4"/>
    <s v="Yes"/>
    <n v="3"/>
    <s v="5-10 Miles"/>
    <x v="0"/>
    <n v="56"/>
    <s v="Old"/>
    <s v="Yes"/>
    <n v="0"/>
    <x v="1"/>
    <x v="1"/>
    <s v="Yes"/>
  </r>
  <r>
    <n v="19477"/>
    <s v="Married"/>
    <x v="1"/>
    <n v="40000"/>
    <n v="0"/>
    <s v="Bachelors"/>
    <x v="2"/>
    <s v="Yes"/>
    <n v="0"/>
    <s v="0-1 Miles"/>
    <x v="0"/>
    <n v="40"/>
    <s v="Middle Age"/>
    <s v="Yes"/>
    <n v="0"/>
    <x v="0"/>
    <x v="0"/>
    <s v="Yes"/>
  </r>
  <r>
    <n v="26796"/>
    <s v="Single"/>
    <x v="1"/>
    <n v="40000"/>
    <n v="2"/>
    <s v="Bachelors"/>
    <x v="4"/>
    <s v="Yes"/>
    <n v="2"/>
    <s v="5-10 Miles"/>
    <x v="1"/>
    <n v="65"/>
    <s v="Old"/>
    <s v="Yes"/>
    <n v="0"/>
    <x v="2"/>
    <x v="0"/>
    <s v="Yes"/>
  </r>
  <r>
    <n v="21094"/>
    <s v="Single"/>
    <x v="0"/>
    <n v="30000"/>
    <n v="2"/>
    <s v="Partial College"/>
    <x v="1"/>
    <s v="Yes"/>
    <n v="2"/>
    <s v="0-1 Miles"/>
    <x v="0"/>
    <n v="42"/>
    <s v="Middle Age"/>
    <s v="No"/>
    <n v="0"/>
    <x v="0"/>
    <x v="0"/>
    <s v="No"/>
  </r>
  <r>
    <n v="12234"/>
    <s v="Married"/>
    <x v="1"/>
    <n v="10000"/>
    <n v="2"/>
    <s v="Partial College"/>
    <x v="3"/>
    <s v="Yes"/>
    <n v="1"/>
    <s v="2-5 Miles"/>
    <x v="0"/>
    <n v="52"/>
    <s v="Middle Age"/>
    <s v="No"/>
    <n v="0"/>
    <x v="1"/>
    <x v="2"/>
    <s v="No"/>
  </r>
  <r>
    <n v="28683"/>
    <s v="Single"/>
    <x v="0"/>
    <n v="10000"/>
    <n v="1"/>
    <s v="High School"/>
    <x v="3"/>
    <s v="No"/>
    <n v="1"/>
    <s v="5-10 Miles"/>
    <x v="0"/>
    <n v="35"/>
    <s v="Middle Age"/>
    <s v="Yes"/>
    <n v="0"/>
    <x v="0"/>
    <x v="2"/>
    <s v="Yes"/>
  </r>
  <r>
    <n v="17994"/>
    <s v="Single"/>
    <x v="1"/>
    <n v="20000"/>
    <n v="2"/>
    <s v="High School"/>
    <x v="3"/>
    <s v="Yes"/>
    <n v="2"/>
    <s v="0-1 Miles"/>
    <x v="0"/>
    <n v="42"/>
    <s v="Middle Age"/>
    <s v="No"/>
    <n v="0"/>
    <x v="0"/>
    <x v="2"/>
    <s v="No"/>
  </r>
  <r>
    <n v="24273"/>
    <s v="Married"/>
    <x v="0"/>
    <n v="20000"/>
    <n v="2"/>
    <s v="Partial High School"/>
    <x v="1"/>
    <s v="Yes"/>
    <n v="2"/>
    <s v="5-10 Miles"/>
    <x v="1"/>
    <n v="55"/>
    <s v="Old"/>
    <s v="Yes"/>
    <n v="0"/>
    <x v="1"/>
    <x v="2"/>
    <s v="Yes"/>
  </r>
  <r>
    <n v="26547"/>
    <s v="Single"/>
    <x v="0"/>
    <n v="30000"/>
    <n v="2"/>
    <s v="Partial College"/>
    <x v="1"/>
    <s v="No"/>
    <n v="2"/>
    <s v="5-10 Miles"/>
    <x v="1"/>
    <n v="60"/>
    <s v="Old"/>
    <s v="Yes"/>
    <n v="0"/>
    <x v="1"/>
    <x v="0"/>
    <s v="Yes"/>
  </r>
  <r>
    <n v="22500"/>
    <s v="Single"/>
    <x v="1"/>
    <n v="40000"/>
    <n v="0"/>
    <s v="Bachelors"/>
    <x v="2"/>
    <s v="No"/>
    <n v="0"/>
    <s v="0-1 Miles"/>
    <x v="0"/>
    <n v="40"/>
    <s v="Middle Age"/>
    <s v="Yes"/>
    <n v="0"/>
    <x v="0"/>
    <x v="0"/>
    <s v="Yes"/>
  </r>
  <r>
    <n v="23993"/>
    <s v="Single"/>
    <x v="0"/>
    <n v="10000"/>
    <n v="0"/>
    <s v="Partial College"/>
    <x v="3"/>
    <s v="No"/>
    <n v="1"/>
    <s v="0-1 Miles"/>
    <x v="1"/>
    <n v="26"/>
    <s v="Adolescent"/>
    <s v="Yes"/>
    <n v="0"/>
    <x v="3"/>
    <x v="2"/>
    <s v="Yes"/>
  </r>
  <r>
    <n v="14832"/>
    <s v="Married"/>
    <x v="1"/>
    <n v="40000"/>
    <n v="1"/>
    <s v="Bachelors"/>
    <x v="0"/>
    <s v="Yes"/>
    <n v="0"/>
    <s v="0-1 Miles"/>
    <x v="0"/>
    <n v="42"/>
    <s v="Middle Age"/>
    <s v="Yes"/>
    <n v="0"/>
    <x v="0"/>
    <x v="0"/>
    <s v="Yes"/>
  </r>
  <r>
    <n v="16614"/>
    <s v="Married"/>
    <x v="0"/>
    <n v="80000"/>
    <n v="0"/>
    <s v="Bachelors"/>
    <x v="2"/>
    <s v="Yes"/>
    <n v="3"/>
    <s v="10+ Miles"/>
    <x v="1"/>
    <n v="32"/>
    <s v="Middle Age"/>
    <s v="No"/>
    <n v="0"/>
    <x v="0"/>
    <x v="1"/>
    <s v="No"/>
  </r>
  <r>
    <n v="20877"/>
    <s v="Single"/>
    <x v="1"/>
    <n v="30000"/>
    <n v="1"/>
    <s v="Bachelors"/>
    <x v="1"/>
    <s v="Yes"/>
    <n v="0"/>
    <s v="1-2 Miles"/>
    <x v="0"/>
    <n v="37"/>
    <s v="Middle Age"/>
    <s v="Yes"/>
    <n v="0"/>
    <x v="0"/>
    <x v="0"/>
    <s v="Yes"/>
  </r>
  <r>
    <n v="20729"/>
    <s v="Married"/>
    <x v="0"/>
    <n v="40000"/>
    <n v="2"/>
    <s v="Partial College"/>
    <x v="1"/>
    <s v="No"/>
    <n v="1"/>
    <s v="0-1 Miles"/>
    <x v="0"/>
    <n v="34"/>
    <s v="Middle Age"/>
    <s v="No"/>
    <n v="0"/>
    <x v="0"/>
    <x v="0"/>
    <s v="No"/>
  </r>
  <r>
    <n v="22464"/>
    <s v="Married"/>
    <x v="1"/>
    <n v="40000"/>
    <n v="0"/>
    <s v="Graduate Degree"/>
    <x v="1"/>
    <s v="Yes"/>
    <n v="0"/>
    <s v="0-1 Miles"/>
    <x v="0"/>
    <n v="37"/>
    <s v="Middle Age"/>
    <s v="Yes"/>
    <n v="0"/>
    <x v="0"/>
    <x v="0"/>
    <s v="Yes"/>
  </r>
  <r>
    <n v="19475"/>
    <s v="Married"/>
    <x v="0"/>
    <n v="40000"/>
    <n v="0"/>
    <s v="Bachelors"/>
    <x v="2"/>
    <s v="No"/>
    <n v="0"/>
    <s v="0-1 Miles"/>
    <x v="0"/>
    <n v="40"/>
    <s v="Middle Age"/>
    <s v="Yes"/>
    <n v="0"/>
    <x v="0"/>
    <x v="0"/>
    <s v="Yes"/>
  </r>
  <r>
    <n v="19675"/>
    <s v="Married"/>
    <x v="1"/>
    <n v="20000"/>
    <n v="4"/>
    <s v="High School"/>
    <x v="0"/>
    <s v="Yes"/>
    <n v="2"/>
    <s v="5-10 Miles"/>
    <x v="1"/>
    <n v="60"/>
    <s v="Old"/>
    <s v="No"/>
    <n v="0"/>
    <x v="1"/>
    <x v="2"/>
    <s v="No"/>
  </r>
  <r>
    <n v="12728"/>
    <s v="Single"/>
    <x v="1"/>
    <n v="30000"/>
    <n v="0"/>
    <s v="Partial College"/>
    <x v="1"/>
    <s v="No"/>
    <n v="1"/>
    <s v="1-2 Miles"/>
    <x v="0"/>
    <n v="27"/>
    <s v="Adolescent"/>
    <s v="No"/>
    <n v="0"/>
    <x v="3"/>
    <x v="0"/>
    <s v="No"/>
  </r>
  <r>
    <n v="26154"/>
    <s v="Married"/>
    <x v="1"/>
    <n v="60000"/>
    <n v="1"/>
    <s v="Partial College"/>
    <x v="0"/>
    <s v="Yes"/>
    <n v="1"/>
    <s v="5-10 Miles"/>
    <x v="1"/>
    <n v="43"/>
    <s v="Middle Age"/>
    <s v="Yes"/>
    <n v="0"/>
    <x v="0"/>
    <x v="0"/>
    <s v="Yes"/>
  </r>
  <r>
    <n v="29117"/>
    <s v="Single"/>
    <x v="1"/>
    <n v="100000"/>
    <n v="1"/>
    <s v="Bachelors"/>
    <x v="4"/>
    <s v="No"/>
    <n v="3"/>
    <s v="0-1 Miles"/>
    <x v="1"/>
    <n v="48"/>
    <s v="Middle Age"/>
    <s v="No"/>
    <n v="0"/>
    <x v="1"/>
    <x v="1"/>
    <s v="No"/>
  </r>
  <r>
    <n v="17845"/>
    <s v="Single"/>
    <x v="0"/>
    <n v="20000"/>
    <n v="0"/>
    <s v="Partial High School"/>
    <x v="3"/>
    <s v="No"/>
    <n v="2"/>
    <s v="1-2 Miles"/>
    <x v="0"/>
    <n v="32"/>
    <s v="Middle Age"/>
    <s v="No"/>
    <n v="0"/>
    <x v="0"/>
    <x v="2"/>
    <s v="No"/>
  </r>
  <r>
    <n v="25058"/>
    <s v="Married"/>
    <x v="1"/>
    <n v="100000"/>
    <n v="1"/>
    <s v="Bachelors"/>
    <x v="4"/>
    <s v="Yes"/>
    <n v="3"/>
    <s v="2-5 Miles"/>
    <x v="1"/>
    <n v="47"/>
    <s v="Middle Age"/>
    <s v="No"/>
    <n v="0"/>
    <x v="1"/>
    <x v="1"/>
    <s v="No"/>
  </r>
  <r>
    <n v="23426"/>
    <s v="Single"/>
    <x v="1"/>
    <n v="80000"/>
    <n v="5"/>
    <s v="Graduate Degree"/>
    <x v="4"/>
    <s v="Yes"/>
    <n v="3"/>
    <s v="0-1 Miles"/>
    <x v="1"/>
    <n v="40"/>
    <s v="Middle Age"/>
    <s v="No"/>
    <n v="0"/>
    <x v="0"/>
    <x v="1"/>
    <s v="No"/>
  </r>
  <r>
    <n v="14798"/>
    <s v="Single"/>
    <x v="0"/>
    <n v="10000"/>
    <n v="4"/>
    <s v="Partial High School"/>
    <x v="3"/>
    <s v="Yes"/>
    <n v="2"/>
    <s v="0-1 Miles"/>
    <x v="0"/>
    <n v="41"/>
    <s v="Middle Age"/>
    <s v="Yes"/>
    <n v="0"/>
    <x v="0"/>
    <x v="2"/>
    <s v="Yes"/>
  </r>
  <r>
    <n v="12664"/>
    <s v="Married"/>
    <x v="0"/>
    <n v="130000"/>
    <n v="5"/>
    <s v="Partial College"/>
    <x v="2"/>
    <s v="Yes"/>
    <n v="4"/>
    <s v="0-1 Miles"/>
    <x v="0"/>
    <n v="59"/>
    <s v="Old"/>
    <s v="No"/>
    <n v="0"/>
    <x v="1"/>
    <x v="1"/>
    <s v="No"/>
  </r>
  <r>
    <n v="23979"/>
    <s v="Single"/>
    <x v="1"/>
    <n v="10000"/>
    <n v="2"/>
    <s v="Partial College"/>
    <x v="3"/>
    <s v="No"/>
    <n v="0"/>
    <s v="0-1 Miles"/>
    <x v="0"/>
    <n v="50"/>
    <s v="Middle Age"/>
    <s v="No"/>
    <n v="0"/>
    <x v="1"/>
    <x v="2"/>
    <s v="No"/>
  </r>
  <r>
    <n v="25605"/>
    <s v="Single"/>
    <x v="0"/>
    <n v="20000"/>
    <n v="2"/>
    <s v="Partial College"/>
    <x v="3"/>
    <s v="No"/>
    <n v="1"/>
    <s v="0-1 Miles"/>
    <x v="0"/>
    <n v="54"/>
    <s v="Middle Age"/>
    <s v="Yes"/>
    <n v="0"/>
    <x v="1"/>
    <x v="2"/>
    <s v="Yes"/>
  </r>
  <r>
    <n v="20797"/>
    <s v="Married"/>
    <x v="0"/>
    <n v="10000"/>
    <n v="1"/>
    <s v="Bachelors"/>
    <x v="3"/>
    <s v="Yes"/>
    <n v="0"/>
    <s v="0-1 Miles"/>
    <x v="0"/>
    <n v="48"/>
    <s v="Middle Age"/>
    <s v="No"/>
    <n v="0"/>
    <x v="1"/>
    <x v="2"/>
    <s v="No"/>
  </r>
  <r>
    <n v="21980"/>
    <s v="Single"/>
    <x v="0"/>
    <n v="60000"/>
    <n v="1"/>
    <s v="Bachelors"/>
    <x v="2"/>
    <s v="Yes"/>
    <n v="1"/>
    <s v="5-10 Miles"/>
    <x v="1"/>
    <n v="44"/>
    <s v="Middle Age"/>
    <s v="Yes"/>
    <n v="0"/>
    <x v="0"/>
    <x v="0"/>
    <s v="Yes"/>
  </r>
  <r>
    <n v="25460"/>
    <s v="Married"/>
    <x v="0"/>
    <n v="20000"/>
    <n v="2"/>
    <s v="High School"/>
    <x v="3"/>
    <s v="Yes"/>
    <n v="0"/>
    <s v="0-1 Miles"/>
    <x v="0"/>
    <n v="40"/>
    <s v="Middle Age"/>
    <s v="Yes"/>
    <n v="0"/>
    <x v="0"/>
    <x v="2"/>
    <s v="Yes"/>
  </r>
  <r>
    <n v="29181"/>
    <s v="Single"/>
    <x v="0"/>
    <n v="60000"/>
    <n v="2"/>
    <s v="Bachelors"/>
    <x v="2"/>
    <s v="No"/>
    <n v="1"/>
    <s v="0-1 Miles"/>
    <x v="1"/>
    <n v="38"/>
    <s v="Middle Age"/>
    <s v="Yes"/>
    <n v="0"/>
    <x v="0"/>
    <x v="0"/>
    <s v="Yes"/>
  </r>
  <r>
    <n v="24279"/>
    <s v="Single"/>
    <x v="1"/>
    <n v="40000"/>
    <n v="2"/>
    <s v="Partial College"/>
    <x v="0"/>
    <s v="No"/>
    <n v="2"/>
    <s v="1-2 Miles"/>
    <x v="1"/>
    <n v="52"/>
    <s v="Middle Age"/>
    <s v="No"/>
    <n v="0"/>
    <x v="1"/>
    <x v="0"/>
    <s v="No"/>
  </r>
  <r>
    <n v="22402"/>
    <s v="Married"/>
    <x v="1"/>
    <n v="10000"/>
    <n v="0"/>
    <s v="Partial College"/>
    <x v="3"/>
    <s v="Yes"/>
    <n v="1"/>
    <s v="2-5 Miles"/>
    <x v="1"/>
    <n v="25"/>
    <s v="Adolescent"/>
    <s v="Yes"/>
    <n v="0"/>
    <x v="3"/>
    <x v="2"/>
    <s v="Yes"/>
  </r>
  <r>
    <n v="15465"/>
    <s v="Married"/>
    <x v="0"/>
    <n v="10000"/>
    <n v="0"/>
    <s v="Partial College"/>
    <x v="3"/>
    <s v="No"/>
    <n v="1"/>
    <s v="0-1 Miles"/>
    <x v="1"/>
    <n v="25"/>
    <s v="Adolescent"/>
    <s v="No"/>
    <n v="0"/>
    <x v="3"/>
    <x v="2"/>
    <s v="No"/>
  </r>
  <r>
    <n v="26757"/>
    <s v="Single"/>
    <x v="1"/>
    <n v="90000"/>
    <n v="1"/>
    <s v="Bachelors"/>
    <x v="2"/>
    <s v="Yes"/>
    <n v="1"/>
    <s v="2-5 Miles"/>
    <x v="1"/>
    <n v="47"/>
    <s v="Middle Age"/>
    <s v="Yes"/>
    <n v="0"/>
    <x v="1"/>
    <x v="1"/>
    <s v="Yes"/>
  </r>
  <r>
    <n v="14233"/>
    <s v="Single"/>
    <x v="1"/>
    <n v="100000"/>
    <n v="0"/>
    <s v="High School"/>
    <x v="4"/>
    <s v="Yes"/>
    <n v="3"/>
    <s v="10+ Miles"/>
    <x v="1"/>
    <n v="35"/>
    <s v="Middle Age"/>
    <s v="No"/>
    <n v="0"/>
    <x v="0"/>
    <x v="1"/>
    <s v="No"/>
  </r>
  <r>
    <n v="14058"/>
    <s v="Single"/>
    <x v="1"/>
    <n v="70000"/>
    <n v="0"/>
    <s v="Bachelors"/>
    <x v="2"/>
    <s v="No"/>
    <n v="1"/>
    <s v="5-10 Miles"/>
    <x v="1"/>
    <n v="41"/>
    <s v="Middle Age"/>
    <s v="Yes"/>
    <n v="0"/>
    <x v="0"/>
    <x v="0"/>
    <s v="Yes"/>
  </r>
  <r>
    <n v="12273"/>
    <s v="Married"/>
    <x v="1"/>
    <n v="30000"/>
    <n v="1"/>
    <s v="Bachelors"/>
    <x v="1"/>
    <s v="Yes"/>
    <n v="0"/>
    <s v="0-1 Miles"/>
    <x v="0"/>
    <n v="47"/>
    <s v="Middle Age"/>
    <s v="No"/>
    <n v="0"/>
    <x v="1"/>
    <x v="0"/>
    <s v="No"/>
  </r>
  <r>
    <n v="17203"/>
    <s v="Married"/>
    <x v="0"/>
    <n v="130000"/>
    <n v="4"/>
    <s v="Partial College"/>
    <x v="2"/>
    <s v="Yes"/>
    <n v="4"/>
    <s v="5-10 Miles"/>
    <x v="0"/>
    <n v="61"/>
    <s v="Old"/>
    <s v="Yes"/>
    <n v="0"/>
    <x v="2"/>
    <x v="1"/>
    <s v="Yes"/>
  </r>
  <r>
    <n v="18144"/>
    <s v="Married"/>
    <x v="0"/>
    <n v="80000"/>
    <n v="5"/>
    <s v="Bachelors"/>
    <x v="4"/>
    <s v="Yes"/>
    <n v="2"/>
    <s v="2-5 Miles"/>
    <x v="0"/>
    <n v="61"/>
    <s v="Old"/>
    <s v="No"/>
    <n v="0"/>
    <x v="2"/>
    <x v="1"/>
    <s v="No"/>
  </r>
  <r>
    <n v="23963"/>
    <s v="Married"/>
    <x v="1"/>
    <n v="10000"/>
    <n v="0"/>
    <s v="Partial High School"/>
    <x v="3"/>
    <s v="No"/>
    <n v="2"/>
    <s v="0-1 Miles"/>
    <x v="0"/>
    <n v="33"/>
    <s v="Middle Age"/>
    <s v="No"/>
    <n v="0"/>
    <x v="0"/>
    <x v="2"/>
    <s v="No"/>
  </r>
  <r>
    <n v="17907"/>
    <s v="Married"/>
    <x v="0"/>
    <n v="10000"/>
    <n v="0"/>
    <s v="Partial College"/>
    <x v="3"/>
    <s v="Yes"/>
    <n v="1"/>
    <s v="2-5 Miles"/>
    <x v="1"/>
    <n v="27"/>
    <s v="Adolescent"/>
    <s v="No"/>
    <n v="0"/>
    <x v="3"/>
    <x v="2"/>
    <s v="No"/>
  </r>
  <r>
    <n v="19442"/>
    <s v="Single"/>
    <x v="1"/>
    <n v="50000"/>
    <n v="0"/>
    <s v="Graduate Degree"/>
    <x v="0"/>
    <s v="Yes"/>
    <n v="0"/>
    <s v="0-1 Miles"/>
    <x v="0"/>
    <n v="37"/>
    <s v="Middle Age"/>
    <s v="Yes"/>
    <n v="0"/>
    <x v="0"/>
    <x v="0"/>
    <s v="Yes"/>
  </r>
  <r>
    <n v="17504"/>
    <s v="Single"/>
    <x v="0"/>
    <n v="80000"/>
    <n v="2"/>
    <s v="Partial College"/>
    <x v="0"/>
    <s v="Yes"/>
    <n v="2"/>
    <s v="5-10 Miles"/>
    <x v="1"/>
    <n v="52"/>
    <s v="Middle Age"/>
    <s v="Yes"/>
    <n v="0"/>
    <x v="1"/>
    <x v="1"/>
    <s v="Yes"/>
  </r>
  <r>
    <n v="12253"/>
    <s v="Single"/>
    <x v="0"/>
    <n v="20000"/>
    <n v="0"/>
    <s v="Partial College"/>
    <x v="3"/>
    <s v="Yes"/>
    <n v="0"/>
    <s v="0-1 Miles"/>
    <x v="1"/>
    <n v="29"/>
    <s v="Adolescent"/>
    <s v="Yes"/>
    <n v="0"/>
    <x v="3"/>
    <x v="2"/>
    <s v="Yes"/>
  </r>
  <r>
    <n v="27304"/>
    <s v="Single"/>
    <x v="0"/>
    <n v="110000"/>
    <n v="2"/>
    <s v="Partial College"/>
    <x v="2"/>
    <s v="No"/>
    <n v="3"/>
    <s v="5-10 Miles"/>
    <x v="0"/>
    <n v="48"/>
    <s v="Middle Age"/>
    <s v="No"/>
    <n v="0"/>
    <x v="1"/>
    <x v="1"/>
    <s v="No"/>
  </r>
  <r>
    <n v="14191"/>
    <s v="Married"/>
    <x v="1"/>
    <n v="160000"/>
    <n v="4"/>
    <s v="Partial College"/>
    <x v="2"/>
    <s v="No"/>
    <n v="2"/>
    <s v="10+ Miles"/>
    <x v="0"/>
    <n v="55"/>
    <s v="Old"/>
    <s v="Yes"/>
    <n v="0"/>
    <x v="1"/>
    <x v="1"/>
    <s v="Yes"/>
  </r>
  <r>
    <n v="12212"/>
    <s v="Married"/>
    <x v="0"/>
    <n v="10000"/>
    <n v="0"/>
    <s v="Graduate Degree"/>
    <x v="3"/>
    <s v="Yes"/>
    <n v="0"/>
    <s v="0-1 Miles"/>
    <x v="0"/>
    <n v="37"/>
    <s v="Middle Age"/>
    <s v="Yes"/>
    <n v="0"/>
    <x v="0"/>
    <x v="2"/>
    <s v="Yes"/>
  </r>
  <r>
    <n v="25529"/>
    <s v="Single"/>
    <x v="1"/>
    <n v="10000"/>
    <n v="1"/>
    <s v="Graduate Degree"/>
    <x v="3"/>
    <s v="Yes"/>
    <n v="0"/>
    <s v="0-1 Miles"/>
    <x v="0"/>
    <n v="44"/>
    <s v="Middle Age"/>
    <s v="No"/>
    <n v="0"/>
    <x v="0"/>
    <x v="2"/>
    <s v="No"/>
  </r>
  <r>
    <n v="22170"/>
    <s v="Married"/>
    <x v="0"/>
    <n v="30000"/>
    <n v="3"/>
    <s v="Partial College"/>
    <x v="1"/>
    <s v="No"/>
    <n v="2"/>
    <s v="1-2 Miles"/>
    <x v="1"/>
    <n v="55"/>
    <s v="Old"/>
    <s v="Yes"/>
    <n v="0"/>
    <x v="1"/>
    <x v="0"/>
    <s v="Yes"/>
  </r>
  <r>
    <n v="19445"/>
    <s v="Married"/>
    <x v="0"/>
    <n v="10000"/>
    <n v="2"/>
    <s v="High School"/>
    <x v="3"/>
    <s v="No"/>
    <n v="1"/>
    <s v="0-1 Miles"/>
    <x v="0"/>
    <n v="38"/>
    <s v="Middle Age"/>
    <s v="No"/>
    <n v="0"/>
    <x v="0"/>
    <x v="2"/>
    <s v="No"/>
  </r>
  <r>
    <n v="15265"/>
    <s v="Single"/>
    <x v="1"/>
    <n v="40000"/>
    <n v="2"/>
    <s v="Bachelors"/>
    <x v="4"/>
    <s v="Yes"/>
    <n v="2"/>
    <s v="5-10 Miles"/>
    <x v="1"/>
    <n v="66"/>
    <s v="Old"/>
    <s v="Yes"/>
    <n v="0"/>
    <x v="2"/>
    <x v="0"/>
    <s v="Yes"/>
  </r>
  <r>
    <n v="28918"/>
    <s v="Married"/>
    <x v="0"/>
    <n v="130000"/>
    <n v="4"/>
    <s v="High School"/>
    <x v="4"/>
    <s v="No"/>
    <n v="4"/>
    <s v="10+ Miles"/>
    <x v="0"/>
    <n v="58"/>
    <s v="Old"/>
    <s v="No"/>
    <n v="0"/>
    <x v="1"/>
    <x v="1"/>
    <s v="No"/>
  </r>
  <r>
    <n v="15799"/>
    <s v="Married"/>
    <x v="0"/>
    <n v="90000"/>
    <n v="1"/>
    <s v="Bachelors"/>
    <x v="2"/>
    <s v="Yes"/>
    <n v="1"/>
    <s v="2-5 Miles"/>
    <x v="1"/>
    <n v="47"/>
    <s v="Middle Age"/>
    <s v="Yes"/>
    <n v="0"/>
    <x v="1"/>
    <x v="1"/>
    <s v="Yes"/>
  </r>
  <r>
    <n v="11047"/>
    <s v="Married"/>
    <x v="0"/>
    <n v="30000"/>
    <n v="3"/>
    <s v="High School"/>
    <x v="0"/>
    <s v="No"/>
    <n v="2"/>
    <s v="1-2 Miles"/>
    <x v="1"/>
    <n v="56"/>
    <s v="Old"/>
    <s v="Yes"/>
    <n v="0"/>
    <x v="1"/>
    <x v="0"/>
    <s v="Yes"/>
  </r>
  <r>
    <n v="18151"/>
    <s v="Single"/>
    <x v="1"/>
    <n v="80000"/>
    <n v="5"/>
    <s v="Partial College"/>
    <x v="2"/>
    <s v="No"/>
    <n v="2"/>
    <s v="10+ Miles"/>
    <x v="0"/>
    <n v="59"/>
    <s v="Old"/>
    <s v="No"/>
    <n v="0"/>
    <x v="1"/>
    <x v="1"/>
    <s v="No"/>
  </r>
  <r>
    <n v="20606"/>
    <s v="Married"/>
    <x v="0"/>
    <n v="70000"/>
    <n v="0"/>
    <s v="Bachelors"/>
    <x v="2"/>
    <s v="Yes"/>
    <n v="4"/>
    <s v="10+ Miles"/>
    <x v="1"/>
    <n v="32"/>
    <s v="Middle Age"/>
    <s v="Yes"/>
    <n v="0"/>
    <x v="0"/>
    <x v="0"/>
    <s v="Yes"/>
  </r>
  <r>
    <n v="19482"/>
    <s v="Married"/>
    <x v="1"/>
    <n v="30000"/>
    <n v="1"/>
    <s v="Partial College"/>
    <x v="1"/>
    <s v="Yes"/>
    <n v="1"/>
    <s v="0-1 Miles"/>
    <x v="0"/>
    <n v="44"/>
    <s v="Middle Age"/>
    <s v="Yes"/>
    <n v="0"/>
    <x v="0"/>
    <x v="0"/>
    <s v="Yes"/>
  </r>
  <r>
    <n v="16489"/>
    <s v="Married"/>
    <x v="1"/>
    <n v="30000"/>
    <n v="3"/>
    <s v="High School"/>
    <x v="0"/>
    <s v="Yes"/>
    <n v="2"/>
    <s v="5-10 Miles"/>
    <x v="1"/>
    <n v="55"/>
    <s v="Old"/>
    <s v="No"/>
    <n v="0"/>
    <x v="1"/>
    <x v="0"/>
    <s v="No"/>
  </r>
  <r>
    <n v="26944"/>
    <s v="Single"/>
    <x v="1"/>
    <n v="90000"/>
    <n v="2"/>
    <s v="High School"/>
    <x v="3"/>
    <s v="Yes"/>
    <n v="0"/>
    <s v="0-1 Miles"/>
    <x v="0"/>
    <n v="36"/>
    <s v="Middle Age"/>
    <s v="Yes"/>
    <n v="0"/>
    <x v="0"/>
    <x v="1"/>
    <s v="Yes"/>
  </r>
  <r>
    <n v="15682"/>
    <s v="Single"/>
    <x v="0"/>
    <n v="80000"/>
    <n v="5"/>
    <s v="Bachelors"/>
    <x v="4"/>
    <s v="Yes"/>
    <n v="2"/>
    <s v="10+ Miles"/>
    <x v="0"/>
    <n v="62"/>
    <s v="Old"/>
    <s v="No"/>
    <n v="0"/>
    <x v="2"/>
    <x v="1"/>
    <s v="No"/>
  </r>
  <r>
    <n v="26032"/>
    <s v="Married"/>
    <x v="0"/>
    <n v="70000"/>
    <n v="5"/>
    <s v="Bachelors"/>
    <x v="2"/>
    <s v="Yes"/>
    <n v="4"/>
    <s v="10+ Miles"/>
    <x v="1"/>
    <n v="41"/>
    <s v="Middle Age"/>
    <s v="No"/>
    <n v="0"/>
    <x v="0"/>
    <x v="0"/>
    <s v="No"/>
  </r>
  <r>
    <n v="17843"/>
    <s v="Single"/>
    <x v="0"/>
    <n v="10000"/>
    <n v="0"/>
    <s v="Partial High School"/>
    <x v="3"/>
    <s v="No"/>
    <n v="2"/>
    <s v="0-1 Miles"/>
    <x v="0"/>
    <n v="32"/>
    <s v="Middle Age"/>
    <s v="No"/>
    <n v="0"/>
    <x v="0"/>
    <x v="2"/>
    <s v="No"/>
  </r>
  <r>
    <n v="25559"/>
    <s v="Single"/>
    <x v="1"/>
    <n v="20000"/>
    <n v="0"/>
    <s v="Bachelors"/>
    <x v="1"/>
    <s v="Yes"/>
    <n v="0"/>
    <s v="0-1 Miles"/>
    <x v="1"/>
    <n v="25"/>
    <s v="Adolescent"/>
    <s v="Yes"/>
    <n v="0"/>
    <x v="3"/>
    <x v="2"/>
    <s v="Yes"/>
  </r>
  <r>
    <n v="16209"/>
    <s v="Single"/>
    <x v="0"/>
    <n v="50000"/>
    <n v="0"/>
    <s v="Graduate Degree"/>
    <x v="0"/>
    <s v="Yes"/>
    <n v="0"/>
    <s v="1-2 Miles"/>
    <x v="0"/>
    <n v="36"/>
    <s v="Middle Age"/>
    <s v="No"/>
    <n v="0"/>
    <x v="0"/>
    <x v="0"/>
    <s v="No"/>
  </r>
  <r>
    <n v="11147"/>
    <s v="Married"/>
    <x v="1"/>
    <n v="60000"/>
    <n v="2"/>
    <s v="Graduate Degree"/>
    <x v="4"/>
    <s v="Yes"/>
    <n v="1"/>
    <s v="0-1 Miles"/>
    <x v="1"/>
    <n v="67"/>
    <s v="Old"/>
    <s v="Yes"/>
    <n v="0"/>
    <x v="2"/>
    <x v="0"/>
    <s v="Yes"/>
  </r>
  <r>
    <n v="15214"/>
    <s v="Single"/>
    <x v="0"/>
    <n v="100000"/>
    <n v="0"/>
    <s v="Graduate Degree"/>
    <x v="4"/>
    <s v="No"/>
    <n v="1"/>
    <s v="1-2 Miles"/>
    <x v="1"/>
    <n v="39"/>
    <s v="Middle Age"/>
    <s v="Yes"/>
    <n v="0"/>
    <x v="0"/>
    <x v="1"/>
    <s v="Yes"/>
  </r>
  <r>
    <n v="11453"/>
    <s v="Single"/>
    <x v="1"/>
    <n v="80000"/>
    <n v="0"/>
    <s v="Bachelors"/>
    <x v="2"/>
    <s v="No"/>
    <n v="3"/>
    <s v="10+ Miles"/>
    <x v="1"/>
    <n v="33"/>
    <s v="Middle Age"/>
    <s v="Yes"/>
    <n v="0"/>
    <x v="0"/>
    <x v="1"/>
    <s v="Yes"/>
  </r>
  <r>
    <n v="24584"/>
    <s v="Single"/>
    <x v="1"/>
    <n v="60000"/>
    <n v="0"/>
    <s v="Bachelors"/>
    <x v="2"/>
    <s v="No"/>
    <n v="3"/>
    <s v="2-5 Miles"/>
    <x v="1"/>
    <n v="31"/>
    <s v="Middle Age"/>
    <s v="No"/>
    <n v="0"/>
    <x v="0"/>
    <x v="0"/>
    <s v="No"/>
  </r>
  <r>
    <n v="12585"/>
    <s v="Married"/>
    <x v="1"/>
    <n v="10000"/>
    <n v="1"/>
    <s v="High School"/>
    <x v="3"/>
    <s v="Yes"/>
    <n v="0"/>
    <s v="2-5 Miles"/>
    <x v="1"/>
    <n v="27"/>
    <s v="Adolescent"/>
    <s v="Yes"/>
    <n v="0"/>
    <x v="3"/>
    <x v="2"/>
    <s v="Yes"/>
  </r>
  <r>
    <n v="18626"/>
    <s v="Single"/>
    <x v="1"/>
    <n v="40000"/>
    <n v="2"/>
    <s v="Partial College"/>
    <x v="1"/>
    <s v="Yes"/>
    <n v="0"/>
    <s v="1-2 Miles"/>
    <x v="0"/>
    <n v="33"/>
    <s v="Middle Age"/>
    <s v="Yes"/>
    <n v="0"/>
    <x v="0"/>
    <x v="0"/>
    <s v="Yes"/>
  </r>
  <r>
    <n v="29298"/>
    <s v="Single"/>
    <x v="0"/>
    <n v="60000"/>
    <n v="1"/>
    <s v="Partial College"/>
    <x v="0"/>
    <s v="Yes"/>
    <n v="1"/>
    <s v="5-10 Miles"/>
    <x v="1"/>
    <n v="46"/>
    <s v="Middle Age"/>
    <s v="Yes"/>
    <n v="0"/>
    <x v="1"/>
    <x v="0"/>
    <s v="Yes"/>
  </r>
  <r>
    <n v="24842"/>
    <s v="Single"/>
    <x v="0"/>
    <n v="90000"/>
    <n v="3"/>
    <s v="High School"/>
    <x v="2"/>
    <s v="No"/>
    <n v="1"/>
    <s v="2-5 Miles"/>
    <x v="0"/>
    <n v="51"/>
    <s v="Middle Age"/>
    <s v="No"/>
    <n v="0"/>
    <x v="1"/>
    <x v="1"/>
    <s v="No"/>
  </r>
  <r>
    <n v="15657"/>
    <s v="Married"/>
    <x v="1"/>
    <n v="30000"/>
    <n v="3"/>
    <s v="Graduate Degree"/>
    <x v="1"/>
    <s v="Yes"/>
    <n v="0"/>
    <s v="0-1 Miles"/>
    <x v="0"/>
    <n v="46"/>
    <s v="Middle Age"/>
    <s v="Yes"/>
    <n v="0"/>
    <x v="1"/>
    <x v="0"/>
    <s v="Yes"/>
  </r>
  <r>
    <n v="11415"/>
    <s v="Single"/>
    <x v="1"/>
    <n v="90000"/>
    <n v="5"/>
    <s v="Partial College"/>
    <x v="2"/>
    <s v="No"/>
    <n v="2"/>
    <s v="10+ Miles"/>
    <x v="0"/>
    <n v="62"/>
    <s v="Old"/>
    <s v="No"/>
    <n v="0"/>
    <x v="2"/>
    <x v="1"/>
    <s v="No"/>
  </r>
  <r>
    <n v="28729"/>
    <s v="Single"/>
    <x v="0"/>
    <n v="20000"/>
    <n v="0"/>
    <s v="Partial High School"/>
    <x v="3"/>
    <s v="Yes"/>
    <n v="2"/>
    <s v="1-2 Miles"/>
    <x v="0"/>
    <n v="26"/>
    <s v="Adolescent"/>
    <s v="Yes"/>
    <n v="0"/>
    <x v="3"/>
    <x v="2"/>
    <s v="Yes"/>
  </r>
  <r>
    <n v="22633"/>
    <s v="Single"/>
    <x v="0"/>
    <n v="40000"/>
    <n v="0"/>
    <s v="Graduate Degree"/>
    <x v="1"/>
    <s v="Yes"/>
    <n v="0"/>
    <s v="0-1 Miles"/>
    <x v="0"/>
    <n v="37"/>
    <s v="Middle Age"/>
    <s v="Yes"/>
    <n v="0"/>
    <x v="0"/>
    <x v="0"/>
    <s v="Yes"/>
  </r>
  <r>
    <n v="25649"/>
    <s v="Single"/>
    <x v="0"/>
    <n v="30000"/>
    <n v="3"/>
    <s v="Partial College"/>
    <x v="1"/>
    <s v="Yes"/>
    <n v="0"/>
    <s v="0-1 Miles"/>
    <x v="0"/>
    <n v="42"/>
    <s v="Middle Age"/>
    <s v="Yes"/>
    <n v="0"/>
    <x v="0"/>
    <x v="0"/>
    <s v="Yes"/>
  </r>
  <r>
    <n v="14669"/>
    <s v="Married"/>
    <x v="0"/>
    <n v="80000"/>
    <n v="4"/>
    <s v="Graduate Degree"/>
    <x v="4"/>
    <s v="Yes"/>
    <n v="1"/>
    <s v="0-1 Miles"/>
    <x v="1"/>
    <n v="36"/>
    <s v="Middle Age"/>
    <s v="No"/>
    <n v="0"/>
    <x v="0"/>
    <x v="1"/>
    <s v="No"/>
  </r>
  <r>
    <n v="19299"/>
    <s v="Married"/>
    <x v="0"/>
    <n v="50000"/>
    <n v="0"/>
    <s v="Graduate Degree"/>
    <x v="0"/>
    <s v="Yes"/>
    <n v="0"/>
    <s v="0-1 Miles"/>
    <x v="0"/>
    <n v="36"/>
    <s v="Middle Age"/>
    <s v="Yes"/>
    <n v="0"/>
    <x v="0"/>
    <x v="0"/>
    <s v="Yes"/>
  </r>
  <r>
    <n v="20946"/>
    <s v="Single"/>
    <x v="0"/>
    <n v="30000"/>
    <n v="0"/>
    <s v="Partial College"/>
    <x v="1"/>
    <s v="No"/>
    <n v="1"/>
    <s v="2-5 Miles"/>
    <x v="0"/>
    <n v="30"/>
    <s v="Adolescent"/>
    <s v="No"/>
    <n v="0"/>
    <x v="0"/>
    <x v="0"/>
    <s v="No"/>
  </r>
  <r>
    <n v="11451"/>
    <s v="Single"/>
    <x v="1"/>
    <n v="70000"/>
    <n v="0"/>
    <s v="Bachelors"/>
    <x v="2"/>
    <s v="No"/>
    <n v="4"/>
    <s v="10+ Miles"/>
    <x v="1"/>
    <n v="31"/>
    <s v="Middle Age"/>
    <s v="Yes"/>
    <n v="0"/>
    <x v="0"/>
    <x v="0"/>
    <s v="Yes"/>
  </r>
  <r>
    <n v="25553"/>
    <s v="Married"/>
    <x v="1"/>
    <n v="30000"/>
    <n v="1"/>
    <s v="Bachelors"/>
    <x v="1"/>
    <s v="Yes"/>
    <n v="0"/>
    <s v="0-1 Miles"/>
    <x v="0"/>
    <n v="65"/>
    <s v="Old"/>
    <s v="Yes"/>
    <n v="0"/>
    <x v="2"/>
    <x v="0"/>
    <s v="Yes"/>
  </r>
  <r>
    <n v="27951"/>
    <s v="Single"/>
    <x v="1"/>
    <n v="80000"/>
    <n v="4"/>
    <s v="Partial College"/>
    <x v="2"/>
    <s v="No"/>
    <n v="2"/>
    <s v="2-5 Miles"/>
    <x v="0"/>
    <n v="54"/>
    <s v="Middle Age"/>
    <s v="Yes"/>
    <n v="0"/>
    <x v="1"/>
    <x v="1"/>
    <s v="Yes"/>
  </r>
  <r>
    <n v="25026"/>
    <s v="Married"/>
    <x v="1"/>
    <n v="20000"/>
    <n v="2"/>
    <s v="Partial High School"/>
    <x v="1"/>
    <s v="Yes"/>
    <n v="3"/>
    <s v="5-10 Miles"/>
    <x v="1"/>
    <n v="54"/>
    <s v="Middle Age"/>
    <s v="No"/>
    <n v="0"/>
    <x v="1"/>
    <x v="2"/>
    <s v="No"/>
  </r>
  <r>
    <n v="13673"/>
    <s v="Single"/>
    <x v="0"/>
    <n v="20000"/>
    <n v="0"/>
    <s v="Partial High School"/>
    <x v="3"/>
    <s v="No"/>
    <n v="2"/>
    <s v="0-1 Miles"/>
    <x v="0"/>
    <n v="25"/>
    <s v="Adolescent"/>
    <s v="No"/>
    <n v="0"/>
    <x v="3"/>
    <x v="2"/>
    <s v="No"/>
  </r>
  <r>
    <n v="16043"/>
    <s v="Single"/>
    <x v="1"/>
    <n v="10000"/>
    <n v="1"/>
    <s v="Bachelors"/>
    <x v="3"/>
    <s v="Yes"/>
    <n v="0"/>
    <s v="0-1 Miles"/>
    <x v="0"/>
    <n v="48"/>
    <s v="Middle Age"/>
    <s v="No"/>
    <n v="0"/>
    <x v="1"/>
    <x v="2"/>
    <s v="No"/>
  </r>
  <r>
    <n v="22399"/>
    <s v="Single"/>
    <x v="1"/>
    <n v="10000"/>
    <n v="0"/>
    <s v="Partial College"/>
    <x v="3"/>
    <s v="Yes"/>
    <n v="1"/>
    <s v="1-2 Miles"/>
    <x v="1"/>
    <n v="26"/>
    <s v="Adolescent"/>
    <s v="Yes"/>
    <n v="0"/>
    <x v="3"/>
    <x v="2"/>
    <s v="Yes"/>
  </r>
  <r>
    <n v="27696"/>
    <s v="Married"/>
    <x v="1"/>
    <n v="60000"/>
    <n v="1"/>
    <s v="Bachelors"/>
    <x v="2"/>
    <s v="Yes"/>
    <n v="1"/>
    <s v="5-10 Miles"/>
    <x v="1"/>
    <n v="43"/>
    <s v="Middle Age"/>
    <s v="Yes"/>
    <n v="0"/>
    <x v="0"/>
    <x v="0"/>
    <s v="Yes"/>
  </r>
  <r>
    <n v="25313"/>
    <s v="Single"/>
    <x v="1"/>
    <n v="10000"/>
    <n v="0"/>
    <s v="Partial High School"/>
    <x v="3"/>
    <s v="No"/>
    <n v="2"/>
    <s v="1-2 Miles"/>
    <x v="0"/>
    <n v="35"/>
    <s v="Middle Age"/>
    <s v="No"/>
    <n v="0"/>
    <x v="0"/>
    <x v="2"/>
    <s v="No"/>
  </r>
  <r>
    <n v="13813"/>
    <s v="Married"/>
    <x v="0"/>
    <n v="30000"/>
    <n v="3"/>
    <s v="Partial College"/>
    <x v="1"/>
    <s v="No"/>
    <n v="0"/>
    <s v="0-1 Miles"/>
    <x v="0"/>
    <n v="42"/>
    <s v="Middle Age"/>
    <s v="No"/>
    <n v="0"/>
    <x v="0"/>
    <x v="0"/>
    <s v="No"/>
  </r>
  <r>
    <n v="18711"/>
    <s v="Single"/>
    <x v="0"/>
    <n v="70000"/>
    <n v="5"/>
    <s v="Bachelors"/>
    <x v="2"/>
    <s v="Yes"/>
    <n v="4"/>
    <s v="10+ Miles"/>
    <x v="1"/>
    <n v="39"/>
    <s v="Middle Age"/>
    <s v="No"/>
    <n v="0"/>
    <x v="0"/>
    <x v="0"/>
    <s v="No"/>
  </r>
  <r>
    <n v="19650"/>
    <s v="Married"/>
    <x v="0"/>
    <n v="30000"/>
    <n v="2"/>
    <s v="Partial College"/>
    <x v="1"/>
    <s v="No"/>
    <n v="2"/>
    <s v="0-1 Miles"/>
    <x v="1"/>
    <n v="67"/>
    <s v="Old"/>
    <s v="No"/>
    <n v="0"/>
    <x v="2"/>
    <x v="0"/>
    <s v="No"/>
  </r>
  <r>
    <n v="14135"/>
    <s v="Married"/>
    <x v="1"/>
    <n v="20000"/>
    <n v="1"/>
    <s v="Partial College"/>
    <x v="3"/>
    <s v="Yes"/>
    <n v="0"/>
    <s v="1-2 Miles"/>
    <x v="0"/>
    <n v="35"/>
    <s v="Middle Age"/>
    <s v="No"/>
    <n v="0"/>
    <x v="0"/>
    <x v="2"/>
    <s v="No"/>
  </r>
  <r>
    <n v="12833"/>
    <s v="Single"/>
    <x v="0"/>
    <n v="20000"/>
    <n v="3"/>
    <s v="High School"/>
    <x v="3"/>
    <s v="Yes"/>
    <n v="1"/>
    <s v="0-1 Miles"/>
    <x v="0"/>
    <n v="42"/>
    <s v="Middle Age"/>
    <s v="Yes"/>
    <n v="0"/>
    <x v="0"/>
    <x v="2"/>
    <s v="Yes"/>
  </r>
  <r>
    <n v="26849"/>
    <s v="Married"/>
    <x v="1"/>
    <n v="10000"/>
    <n v="3"/>
    <s v="Partial High School"/>
    <x v="3"/>
    <s v="Yes"/>
    <n v="2"/>
    <s v="0-1 Miles"/>
    <x v="0"/>
    <n v="43"/>
    <s v="Middle Age"/>
    <s v="No"/>
    <n v="0"/>
    <x v="0"/>
    <x v="2"/>
    <s v="No"/>
  </r>
  <r>
    <n v="20962"/>
    <s v="Married"/>
    <x v="0"/>
    <n v="20000"/>
    <n v="1"/>
    <s v="Graduate Degree"/>
    <x v="1"/>
    <s v="Yes"/>
    <n v="0"/>
    <s v="0-1 Miles"/>
    <x v="0"/>
    <n v="45"/>
    <s v="Middle Age"/>
    <s v="No"/>
    <n v="0"/>
    <x v="0"/>
    <x v="2"/>
    <s v="No"/>
  </r>
  <r>
    <n v="28915"/>
    <s v="Single"/>
    <x v="1"/>
    <n v="80000"/>
    <n v="5"/>
    <s v="High School"/>
    <x v="4"/>
    <s v="Yes"/>
    <n v="3"/>
    <s v="10+ Miles"/>
    <x v="0"/>
    <n v="57"/>
    <s v="Old"/>
    <s v="No"/>
    <n v="0"/>
    <x v="1"/>
    <x v="1"/>
    <s v="No"/>
  </r>
  <r>
    <n v="22830"/>
    <s v="Married"/>
    <x v="1"/>
    <n v="120000"/>
    <n v="4"/>
    <s v="Partial College"/>
    <x v="4"/>
    <s v="Yes"/>
    <n v="3"/>
    <s v="10+ Miles"/>
    <x v="0"/>
    <n v="56"/>
    <s v="Old"/>
    <s v="No"/>
    <n v="0"/>
    <x v="1"/>
    <x v="1"/>
    <s v="No"/>
  </r>
  <r>
    <n v="14777"/>
    <s v="Married"/>
    <x v="0"/>
    <n v="40000"/>
    <n v="0"/>
    <s v="Bachelors"/>
    <x v="1"/>
    <s v="Yes"/>
    <n v="0"/>
    <s v="0-1 Miles"/>
    <x v="0"/>
    <n v="38"/>
    <s v="Middle Age"/>
    <s v="Yes"/>
    <n v="0"/>
    <x v="0"/>
    <x v="0"/>
    <s v="Yes"/>
  </r>
  <r>
    <n v="12591"/>
    <s v="Married"/>
    <x v="0"/>
    <n v="30000"/>
    <n v="4"/>
    <s v="Graduate Degree"/>
    <x v="1"/>
    <s v="Yes"/>
    <n v="0"/>
    <s v="0-1 Miles"/>
    <x v="0"/>
    <n v="45"/>
    <s v="Middle Age"/>
    <s v="No"/>
    <n v="0"/>
    <x v="0"/>
    <x v="0"/>
    <s v="No"/>
  </r>
  <r>
    <n v="24174"/>
    <s v="Married"/>
    <x v="1"/>
    <n v="20000"/>
    <n v="0"/>
    <s v="Bachelors"/>
    <x v="1"/>
    <s v="Yes"/>
    <n v="0"/>
    <s v="0-1 Miles"/>
    <x v="1"/>
    <n v="27"/>
    <s v="Adolescent"/>
    <s v="Yes"/>
    <n v="0"/>
    <x v="3"/>
    <x v="2"/>
    <s v="Yes"/>
  </r>
  <r>
    <n v="24611"/>
    <s v="Single"/>
    <x v="1"/>
    <n v="90000"/>
    <n v="0"/>
    <s v="Bachelors"/>
    <x v="2"/>
    <s v="No"/>
    <n v="4"/>
    <s v="10+ Miles"/>
    <x v="1"/>
    <n v="35"/>
    <s v="Middle Age"/>
    <s v="Yes"/>
    <n v="0"/>
    <x v="0"/>
    <x v="1"/>
    <s v="Yes"/>
  </r>
  <r>
    <n v="11340"/>
    <s v="Married"/>
    <x v="0"/>
    <n v="10000"/>
    <n v="1"/>
    <s v="Graduate Degree"/>
    <x v="1"/>
    <s v="Yes"/>
    <n v="0"/>
    <s v="0-1 Miles"/>
    <x v="0"/>
    <n v="70"/>
    <s v="Old"/>
    <s v="Yes"/>
    <n v="0"/>
    <x v="2"/>
    <x v="2"/>
    <s v="Yes"/>
  </r>
  <r>
    <n v="25693"/>
    <s v="Single"/>
    <x v="0"/>
    <n v="30000"/>
    <n v="5"/>
    <s v="Graduate Degree"/>
    <x v="1"/>
    <s v="Yes"/>
    <n v="0"/>
    <s v="0-1 Miles"/>
    <x v="0"/>
    <n v="44"/>
    <s v="Middle Age"/>
    <s v="Yes"/>
    <n v="0"/>
    <x v="0"/>
    <x v="0"/>
    <s v="Yes"/>
  </r>
  <r>
    <n v="25555"/>
    <s v="Married"/>
    <x v="0"/>
    <n v="10000"/>
    <n v="0"/>
    <s v="Partial College"/>
    <x v="3"/>
    <s v="No"/>
    <n v="1"/>
    <s v="0-1 Miles"/>
    <x v="1"/>
    <n v="26"/>
    <s v="Adolescent"/>
    <s v="Yes"/>
    <n v="0"/>
    <x v="3"/>
    <x v="2"/>
    <s v="Yes"/>
  </r>
  <r>
    <n v="22006"/>
    <s v="Married"/>
    <x v="1"/>
    <n v="70000"/>
    <n v="5"/>
    <s v="Partial College"/>
    <x v="0"/>
    <s v="Yes"/>
    <n v="3"/>
    <s v="5-10 Miles"/>
    <x v="1"/>
    <n v="46"/>
    <s v="Middle Age"/>
    <s v="No"/>
    <n v="0"/>
    <x v="1"/>
    <x v="0"/>
    <s v="No"/>
  </r>
  <r>
    <n v="20060"/>
    <s v="Single"/>
    <x v="0"/>
    <n v="30000"/>
    <n v="0"/>
    <s v="High School"/>
    <x v="3"/>
    <s v="No"/>
    <n v="1"/>
    <s v="2-5 Miles"/>
    <x v="0"/>
    <n v="34"/>
    <s v="Middle Age"/>
    <s v="Yes"/>
    <n v="0"/>
    <x v="0"/>
    <x v="0"/>
    <s v="Yes"/>
  </r>
  <r>
    <n v="17702"/>
    <s v="Married"/>
    <x v="1"/>
    <n v="10000"/>
    <n v="1"/>
    <s v="Graduate Degree"/>
    <x v="3"/>
    <s v="Yes"/>
    <n v="0"/>
    <s v="0-1 Miles"/>
    <x v="0"/>
    <n v="37"/>
    <s v="Middle Age"/>
    <s v="No"/>
    <n v="0"/>
    <x v="0"/>
    <x v="2"/>
    <s v="No"/>
  </r>
  <r>
    <n v="12503"/>
    <s v="Single"/>
    <x v="0"/>
    <n v="30000"/>
    <n v="3"/>
    <s v="Partial College"/>
    <x v="1"/>
    <s v="Yes"/>
    <n v="2"/>
    <s v="0-1 Miles"/>
    <x v="0"/>
    <n v="27"/>
    <s v="Adolescent"/>
    <s v="No"/>
    <n v="0"/>
    <x v="3"/>
    <x v="0"/>
    <s v="No"/>
  </r>
  <r>
    <n v="23908"/>
    <s v="Single"/>
    <x v="1"/>
    <n v="30000"/>
    <n v="1"/>
    <s v="Bachelors"/>
    <x v="1"/>
    <s v="No"/>
    <n v="1"/>
    <s v="0-1 Miles"/>
    <x v="0"/>
    <n v="39"/>
    <s v="Middle Age"/>
    <s v="Yes"/>
    <n v="0"/>
    <x v="0"/>
    <x v="0"/>
    <s v="Yes"/>
  </r>
  <r>
    <n v="22527"/>
    <s v="Single"/>
    <x v="0"/>
    <n v="20000"/>
    <n v="0"/>
    <s v="High School"/>
    <x v="3"/>
    <s v="No"/>
    <n v="1"/>
    <s v="2-5 Miles"/>
    <x v="0"/>
    <n v="29"/>
    <s v="Adolescent"/>
    <s v="No"/>
    <n v="0"/>
    <x v="3"/>
    <x v="2"/>
    <s v="No"/>
  </r>
  <r>
    <n v="19057"/>
    <s v="Married"/>
    <x v="0"/>
    <n v="120000"/>
    <n v="3"/>
    <s v="Bachelors"/>
    <x v="4"/>
    <s v="No"/>
    <n v="2"/>
    <s v="10+ Miles"/>
    <x v="0"/>
    <n v="52"/>
    <s v="Middle Age"/>
    <s v="Yes"/>
    <n v="0"/>
    <x v="1"/>
    <x v="1"/>
    <s v="Yes"/>
  </r>
  <r>
    <n v="18494"/>
    <s v="Married"/>
    <x v="1"/>
    <n v="110000"/>
    <n v="5"/>
    <s v="Bachelors"/>
    <x v="4"/>
    <s v="Yes"/>
    <n v="4"/>
    <s v="2-5 Miles"/>
    <x v="1"/>
    <n v="48"/>
    <s v="Middle Age"/>
    <s v="Yes"/>
    <n v="0"/>
    <x v="1"/>
    <x v="1"/>
    <s v="Yes"/>
  </r>
  <r>
    <n v="11249"/>
    <s v="Married"/>
    <x v="0"/>
    <n v="130000"/>
    <n v="3"/>
    <s v="Partial College"/>
    <x v="2"/>
    <s v="Yes"/>
    <n v="3"/>
    <s v="0-1 Miles"/>
    <x v="0"/>
    <n v="51"/>
    <s v="Middle Age"/>
    <s v="Yes"/>
    <n v="0"/>
    <x v="1"/>
    <x v="1"/>
    <s v="Yes"/>
  </r>
  <r>
    <n v="21568"/>
    <s v="Married"/>
    <x v="0"/>
    <n v="100000"/>
    <n v="0"/>
    <s v="High School"/>
    <x v="4"/>
    <s v="Yes"/>
    <n v="4"/>
    <s v="10+ Miles"/>
    <x v="1"/>
    <n v="34"/>
    <s v="Middle Age"/>
    <s v="Yes"/>
    <n v="0"/>
    <x v="0"/>
    <x v="1"/>
    <s v="Yes"/>
  </r>
  <r>
    <n v="13981"/>
    <s v="Married"/>
    <x v="0"/>
    <n v="10000"/>
    <n v="5"/>
    <s v="High School"/>
    <x v="0"/>
    <s v="No"/>
    <n v="3"/>
    <s v="1-2 Miles"/>
    <x v="1"/>
    <n v="62"/>
    <s v="Old"/>
    <s v="No"/>
    <n v="0"/>
    <x v="2"/>
    <x v="2"/>
    <s v="No"/>
  </r>
  <r>
    <n v="23432"/>
    <s v="Single"/>
    <x v="1"/>
    <n v="70000"/>
    <n v="0"/>
    <s v="Bachelors"/>
    <x v="2"/>
    <s v="Yes"/>
    <n v="1"/>
    <s v="5-10 Miles"/>
    <x v="1"/>
    <n v="37"/>
    <s v="Middle Age"/>
    <s v="Yes"/>
    <n v="0"/>
    <x v="0"/>
    <x v="0"/>
    <s v="Yes"/>
  </r>
  <r>
    <n v="22931"/>
    <s v="Married"/>
    <x v="1"/>
    <n v="100000"/>
    <n v="5"/>
    <s v="Graduate Degree"/>
    <x v="4"/>
    <s v="No"/>
    <n v="1"/>
    <s v="1-2 Miles"/>
    <x v="1"/>
    <n v="78"/>
    <s v="Old"/>
    <s v="Yes"/>
    <n v="0"/>
    <x v="2"/>
    <x v="1"/>
    <s v="Yes"/>
  </r>
  <r>
    <n v="18172"/>
    <s v="Married"/>
    <x v="1"/>
    <n v="130000"/>
    <n v="4"/>
    <s v="High School"/>
    <x v="2"/>
    <s v="Yes"/>
    <n v="3"/>
    <s v="0-1 Miles"/>
    <x v="0"/>
    <n v="55"/>
    <s v="Old"/>
    <s v="No"/>
    <n v="0"/>
    <x v="1"/>
    <x v="1"/>
    <s v="No"/>
  </r>
  <r>
    <n v="12666"/>
    <s v="Single"/>
    <x v="1"/>
    <n v="60000"/>
    <n v="0"/>
    <s v="Bachelors"/>
    <x v="2"/>
    <s v="No"/>
    <n v="4"/>
    <s v="2-5 Miles"/>
    <x v="1"/>
    <n v="31"/>
    <s v="Middle Age"/>
    <s v="No"/>
    <n v="0"/>
    <x v="0"/>
    <x v="0"/>
    <s v="No"/>
  </r>
  <r>
    <n v="20598"/>
    <s v="Married"/>
    <x v="1"/>
    <n v="100000"/>
    <n v="3"/>
    <s v="Partial High School"/>
    <x v="2"/>
    <s v="Yes"/>
    <n v="0"/>
    <s v="10+ Miles"/>
    <x v="0"/>
    <n v="59"/>
    <s v="Old"/>
    <s v="Yes"/>
    <n v="0"/>
    <x v="1"/>
    <x v="1"/>
    <s v="Yes"/>
  </r>
  <r>
    <n v="21375"/>
    <s v="Single"/>
    <x v="1"/>
    <n v="20000"/>
    <n v="2"/>
    <s v="Partial High School"/>
    <x v="1"/>
    <s v="Yes"/>
    <n v="2"/>
    <s v="5-10 Miles"/>
    <x v="1"/>
    <n v="57"/>
    <s v="Old"/>
    <s v="No"/>
    <n v="0"/>
    <x v="1"/>
    <x v="2"/>
    <s v="No"/>
  </r>
  <r>
    <n v="20839"/>
    <s v="Single"/>
    <x v="0"/>
    <n v="30000"/>
    <n v="3"/>
    <s v="Graduate Degree"/>
    <x v="1"/>
    <s v="Yes"/>
    <n v="0"/>
    <s v="0-1 Miles"/>
    <x v="0"/>
    <n v="47"/>
    <s v="Middle Age"/>
    <s v="Yes"/>
    <n v="0"/>
    <x v="1"/>
    <x v="0"/>
    <s v="Yes"/>
  </r>
  <r>
    <n v="21738"/>
    <s v="Married"/>
    <x v="1"/>
    <n v="20000"/>
    <n v="1"/>
    <s v="Graduate Degree"/>
    <x v="1"/>
    <s v="Yes"/>
    <n v="0"/>
    <s v="0-1 Miles"/>
    <x v="0"/>
    <n v="43"/>
    <s v="Middle Age"/>
    <s v="No"/>
    <n v="0"/>
    <x v="0"/>
    <x v="2"/>
    <s v="No"/>
  </r>
  <r>
    <n v="14164"/>
    <s v="Single"/>
    <x v="0"/>
    <n v="50000"/>
    <n v="0"/>
    <s v="Graduate Degree"/>
    <x v="0"/>
    <s v="Yes"/>
    <n v="0"/>
    <s v="0-1 Miles"/>
    <x v="0"/>
    <n v="36"/>
    <s v="Middle Age"/>
    <s v="Yes"/>
    <n v="0"/>
    <x v="0"/>
    <x v="0"/>
    <s v="Yes"/>
  </r>
  <r>
    <n v="14193"/>
    <s v="Single"/>
    <x v="0"/>
    <n v="100000"/>
    <n v="3"/>
    <s v="Partial College"/>
    <x v="4"/>
    <s v="Yes"/>
    <n v="4"/>
    <s v="10+ Miles"/>
    <x v="0"/>
    <n v="56"/>
    <s v="Old"/>
    <s v="No"/>
    <n v="0"/>
    <x v="1"/>
    <x v="1"/>
    <s v="No"/>
  </r>
  <r>
    <n v="12705"/>
    <s v="Married"/>
    <x v="1"/>
    <n v="150000"/>
    <n v="0"/>
    <s v="Bachelors"/>
    <x v="4"/>
    <s v="Yes"/>
    <n v="4"/>
    <s v="0-1 Miles"/>
    <x v="1"/>
    <n v="37"/>
    <s v="Middle Age"/>
    <s v="Yes"/>
    <n v="0"/>
    <x v="0"/>
    <x v="1"/>
    <s v="Yes"/>
  </r>
  <r>
    <n v="22672"/>
    <s v="Single"/>
    <x v="0"/>
    <n v="30000"/>
    <n v="2"/>
    <s v="Partial College"/>
    <x v="1"/>
    <s v="Yes"/>
    <n v="0"/>
    <s v="0-1 Miles"/>
    <x v="0"/>
    <n v="43"/>
    <s v="Middle Age"/>
    <s v="No"/>
    <n v="0"/>
    <x v="0"/>
    <x v="0"/>
    <s v="No"/>
  </r>
  <r>
    <n v="26219"/>
    <s v="Married"/>
    <x v="0"/>
    <n v="40000"/>
    <n v="1"/>
    <s v="Bachelors"/>
    <x v="0"/>
    <s v="Yes"/>
    <n v="1"/>
    <s v="1-2 Miles"/>
    <x v="0"/>
    <n v="33"/>
    <s v="Middle Age"/>
    <s v="Yes"/>
    <n v="0"/>
    <x v="0"/>
    <x v="0"/>
    <s v="Yes"/>
  </r>
  <r>
    <n v="28468"/>
    <s v="Married"/>
    <x v="0"/>
    <n v="10000"/>
    <n v="2"/>
    <s v="Partial College"/>
    <x v="3"/>
    <s v="Yes"/>
    <n v="0"/>
    <s v="1-2 Miles"/>
    <x v="0"/>
    <n v="51"/>
    <s v="Middle Age"/>
    <s v="No"/>
    <n v="0"/>
    <x v="1"/>
    <x v="2"/>
    <s v="No"/>
  </r>
  <r>
    <n v="23419"/>
    <s v="Single"/>
    <x v="0"/>
    <n v="70000"/>
    <n v="5"/>
    <s v="Bachelors"/>
    <x v="2"/>
    <s v="Yes"/>
    <n v="3"/>
    <s v="10+ Miles"/>
    <x v="1"/>
    <n v="39"/>
    <s v="Middle Age"/>
    <s v="No"/>
    <n v="0"/>
    <x v="0"/>
    <x v="0"/>
    <s v="No"/>
  </r>
  <r>
    <n v="17964"/>
    <s v="Married"/>
    <x v="1"/>
    <n v="40000"/>
    <n v="0"/>
    <s v="Graduate Degree"/>
    <x v="1"/>
    <s v="Yes"/>
    <n v="0"/>
    <s v="0-1 Miles"/>
    <x v="0"/>
    <n v="37"/>
    <s v="Middle Age"/>
    <s v="Yes"/>
    <n v="0"/>
    <x v="0"/>
    <x v="0"/>
    <s v="Yes"/>
  </r>
  <r>
    <n v="20919"/>
    <s v="Single"/>
    <x v="0"/>
    <n v="30000"/>
    <n v="2"/>
    <s v="Partial College"/>
    <x v="1"/>
    <s v="Yes"/>
    <n v="2"/>
    <s v="0-1 Miles"/>
    <x v="0"/>
    <n v="42"/>
    <s v="Middle Age"/>
    <s v="No"/>
    <n v="0"/>
    <x v="0"/>
    <x v="0"/>
    <s v="No"/>
  </r>
  <r>
    <n v="20927"/>
    <s v="Single"/>
    <x v="0"/>
    <n v="20000"/>
    <n v="5"/>
    <s v="High School"/>
    <x v="3"/>
    <s v="Yes"/>
    <n v="2"/>
    <s v="0-1 Miles"/>
    <x v="0"/>
    <n v="27"/>
    <s v="Adolescent"/>
    <s v="No"/>
    <n v="0"/>
    <x v="3"/>
    <x v="2"/>
    <s v="No"/>
  </r>
  <r>
    <n v="13133"/>
    <s v="Single"/>
    <x v="1"/>
    <n v="100000"/>
    <n v="5"/>
    <s v="Bachelors"/>
    <x v="2"/>
    <s v="Yes"/>
    <n v="1"/>
    <s v="5-10 Miles"/>
    <x v="1"/>
    <n v="47"/>
    <s v="Middle Age"/>
    <s v="Yes"/>
    <n v="0"/>
    <x v="1"/>
    <x v="1"/>
    <s v="Yes"/>
  </r>
  <r>
    <n v="19626"/>
    <s v="Married"/>
    <x v="1"/>
    <n v="70000"/>
    <n v="5"/>
    <s v="Partial College"/>
    <x v="0"/>
    <s v="Yes"/>
    <n v="3"/>
    <s v="5-10 Miles"/>
    <x v="1"/>
    <n v="45"/>
    <s v="Middle Age"/>
    <s v="No"/>
    <n v="0"/>
    <x v="0"/>
    <x v="0"/>
    <s v="No"/>
  </r>
  <r>
    <n v="21039"/>
    <s v="Single"/>
    <x v="0"/>
    <n v="50000"/>
    <n v="0"/>
    <s v="Graduate Degree"/>
    <x v="0"/>
    <s v="No"/>
    <n v="0"/>
    <s v="0-1 Miles"/>
    <x v="0"/>
    <n v="37"/>
    <s v="Middle Age"/>
    <s v="Yes"/>
    <n v="0"/>
    <x v="0"/>
    <x v="0"/>
    <s v="Yes"/>
  </r>
  <r>
    <n v="12231"/>
    <s v="Single"/>
    <x v="0"/>
    <n v="10000"/>
    <n v="2"/>
    <s v="Partial College"/>
    <x v="3"/>
    <s v="Yes"/>
    <n v="0"/>
    <s v="0-1 Miles"/>
    <x v="0"/>
    <n v="51"/>
    <s v="Middle Age"/>
    <s v="Yes"/>
    <n v="0"/>
    <x v="1"/>
    <x v="2"/>
    <s v="Yes"/>
  </r>
  <r>
    <n v="25665"/>
    <s v="Single"/>
    <x v="0"/>
    <n v="20000"/>
    <n v="0"/>
    <s v="High School"/>
    <x v="3"/>
    <s v="No"/>
    <n v="1"/>
    <s v="1-2 Miles"/>
    <x v="0"/>
    <n v="28"/>
    <s v="Adolescent"/>
    <s v="No"/>
    <n v="0"/>
    <x v="3"/>
    <x v="2"/>
    <s v="No"/>
  </r>
  <r>
    <n v="24061"/>
    <s v="Married"/>
    <x v="1"/>
    <n v="10000"/>
    <n v="4"/>
    <s v="Partial High School"/>
    <x v="3"/>
    <s v="Yes"/>
    <n v="1"/>
    <s v="0-1 Miles"/>
    <x v="0"/>
    <n v="40"/>
    <s v="Middle Age"/>
    <s v="Yes"/>
    <n v="0"/>
    <x v="0"/>
    <x v="2"/>
    <s v="Yes"/>
  </r>
  <r>
    <n v="26879"/>
    <s v="Single"/>
    <x v="0"/>
    <n v="20000"/>
    <n v="0"/>
    <s v="High School"/>
    <x v="3"/>
    <s v="No"/>
    <n v="1"/>
    <s v="2-5 Miles"/>
    <x v="0"/>
    <n v="30"/>
    <s v="Adolescent"/>
    <s v="No"/>
    <n v="0"/>
    <x v="0"/>
    <x v="2"/>
    <s v="No"/>
  </r>
  <r>
    <n v="12284"/>
    <s v="Married"/>
    <x v="0"/>
    <n v="30000"/>
    <n v="0"/>
    <s v="Bachelors"/>
    <x v="1"/>
    <s v="No"/>
    <n v="0"/>
    <s v="0-1 Miles"/>
    <x v="0"/>
    <n v="36"/>
    <s v="Middle Age"/>
    <s v="Yes"/>
    <n v="0"/>
    <x v="0"/>
    <x v="0"/>
    <s v="Yes"/>
  </r>
  <r>
    <n v="26654"/>
    <s v="Married"/>
    <x v="0"/>
    <n v="90000"/>
    <n v="1"/>
    <s v="Graduate Degree"/>
    <x v="4"/>
    <s v="Yes"/>
    <n v="0"/>
    <s v="0-1 Miles"/>
    <x v="1"/>
    <n v="37"/>
    <s v="Middle Age"/>
    <s v="Yes"/>
    <n v="0"/>
    <x v="0"/>
    <x v="1"/>
    <s v="Yes"/>
  </r>
  <r>
    <n v="14545"/>
    <s v="Married"/>
    <x v="0"/>
    <n v="10000"/>
    <n v="2"/>
    <s v="Partial College"/>
    <x v="3"/>
    <s v="Yes"/>
    <n v="0"/>
    <s v="1-2 Miles"/>
    <x v="0"/>
    <n v="49"/>
    <s v="Middle Age"/>
    <s v="No"/>
    <n v="0"/>
    <x v="1"/>
    <x v="2"/>
    <s v="No"/>
  </r>
  <r>
    <n v="24201"/>
    <s v="Married"/>
    <x v="0"/>
    <n v="10000"/>
    <n v="2"/>
    <s v="High School"/>
    <x v="3"/>
    <s v="Yes"/>
    <n v="0"/>
    <s v="0-1 Miles"/>
    <x v="0"/>
    <n v="37"/>
    <s v="Middle Age"/>
    <s v="Yes"/>
    <n v="0"/>
    <x v="0"/>
    <x v="2"/>
    <s v="Yes"/>
  </r>
  <r>
    <n v="20625"/>
    <s v="Married"/>
    <x v="1"/>
    <n v="100000"/>
    <n v="0"/>
    <s v="High School"/>
    <x v="4"/>
    <s v="Yes"/>
    <n v="3"/>
    <s v="10+ Miles"/>
    <x v="1"/>
    <n v="35"/>
    <s v="Middle Age"/>
    <s v="Yes"/>
    <n v="0"/>
    <x v="0"/>
    <x v="1"/>
    <s v="Yes"/>
  </r>
  <r>
    <n v="16390"/>
    <s v="Single"/>
    <x v="1"/>
    <n v="30000"/>
    <n v="1"/>
    <s v="Bachelors"/>
    <x v="1"/>
    <s v="No"/>
    <n v="0"/>
    <s v="0-1 Miles"/>
    <x v="0"/>
    <n v="38"/>
    <s v="Middle Age"/>
    <s v="Yes"/>
    <n v="0"/>
    <x v="0"/>
    <x v="0"/>
    <s v="Yes"/>
  </r>
  <r>
    <n v="14804"/>
    <s v="Single"/>
    <x v="0"/>
    <n v="10000"/>
    <n v="3"/>
    <s v="Partial High School"/>
    <x v="3"/>
    <s v="Yes"/>
    <n v="2"/>
    <s v="0-1 Miles"/>
    <x v="0"/>
    <n v="43"/>
    <s v="Middle Age"/>
    <s v="No"/>
    <n v="0"/>
    <x v="0"/>
    <x v="2"/>
    <s v="No"/>
  </r>
  <r>
    <n v="12629"/>
    <s v="Single"/>
    <x v="1"/>
    <n v="20000"/>
    <n v="1"/>
    <s v="Partial College"/>
    <x v="3"/>
    <s v="No"/>
    <n v="0"/>
    <s v="0-1 Miles"/>
    <x v="0"/>
    <n v="37"/>
    <s v="Middle Age"/>
    <s v="No"/>
    <n v="0"/>
    <x v="0"/>
    <x v="2"/>
    <s v="No"/>
  </r>
  <r>
    <n v="14696"/>
    <s v="Single"/>
    <x v="1"/>
    <n v="10000"/>
    <n v="0"/>
    <s v="Partial High School"/>
    <x v="3"/>
    <s v="No"/>
    <n v="2"/>
    <s v="0-1 Miles"/>
    <x v="0"/>
    <n v="34"/>
    <s v="Middle Age"/>
    <s v="No"/>
    <n v="0"/>
    <x v="0"/>
    <x v="2"/>
    <s v="No"/>
  </r>
  <r>
    <n v="22005"/>
    <s v="Married"/>
    <x v="0"/>
    <n v="70000"/>
    <n v="5"/>
    <s v="Partial College"/>
    <x v="0"/>
    <s v="No"/>
    <n v="3"/>
    <s v="5-10 Miles"/>
    <x v="1"/>
    <n v="46"/>
    <s v="Middle Age"/>
    <s v="No"/>
    <n v="0"/>
    <x v="1"/>
    <x v="0"/>
    <s v="No"/>
  </r>
  <r>
    <n v="14544"/>
    <s v="Single"/>
    <x v="1"/>
    <n v="10000"/>
    <n v="1"/>
    <s v="Partial College"/>
    <x v="3"/>
    <s v="Yes"/>
    <n v="0"/>
    <s v="0-1 Miles"/>
    <x v="0"/>
    <n v="49"/>
    <s v="Middle Age"/>
    <s v="No"/>
    <n v="0"/>
    <x v="1"/>
    <x v="2"/>
    <s v="No"/>
  </r>
  <r>
    <n v="14312"/>
    <s v="Married"/>
    <x v="0"/>
    <n v="60000"/>
    <n v="1"/>
    <s v="Partial College"/>
    <x v="0"/>
    <s v="Yes"/>
    <n v="1"/>
    <s v="5-10 Miles"/>
    <x v="1"/>
    <n v="45"/>
    <s v="Middle Age"/>
    <s v="No"/>
    <n v="0"/>
    <x v="0"/>
    <x v="0"/>
    <s v="No"/>
  </r>
  <r>
    <n v="29120"/>
    <s v="Single"/>
    <x v="0"/>
    <n v="100000"/>
    <n v="1"/>
    <s v="Bachelors"/>
    <x v="4"/>
    <s v="Yes"/>
    <n v="4"/>
    <s v="2-5 Miles"/>
    <x v="1"/>
    <n v="48"/>
    <s v="Middle Age"/>
    <s v="No"/>
    <n v="0"/>
    <x v="1"/>
    <x v="1"/>
    <s v="No"/>
  </r>
  <r>
    <n v="24187"/>
    <s v="Single"/>
    <x v="0"/>
    <n v="30000"/>
    <n v="3"/>
    <s v="Graduate Degree"/>
    <x v="1"/>
    <s v="No"/>
    <n v="0"/>
    <s v="0-1 Miles"/>
    <x v="0"/>
    <n v="46"/>
    <s v="Middle Age"/>
    <s v="Yes"/>
    <n v="0"/>
    <x v="1"/>
    <x v="0"/>
    <s v="Yes"/>
  </r>
  <r>
    <n v="15758"/>
    <s v="Married"/>
    <x v="1"/>
    <n v="130000"/>
    <n v="0"/>
    <s v="Graduate Degree"/>
    <x v="4"/>
    <s v="Yes"/>
    <n v="0"/>
    <s v="5-10 Miles"/>
    <x v="1"/>
    <n v="48"/>
    <s v="Middle Age"/>
    <s v="No"/>
    <n v="0"/>
    <x v="1"/>
    <x v="1"/>
    <s v="No"/>
  </r>
  <r>
    <n v="29094"/>
    <s v="Married"/>
    <x v="1"/>
    <n v="30000"/>
    <n v="3"/>
    <s v="High School"/>
    <x v="0"/>
    <s v="Yes"/>
    <n v="2"/>
    <s v="5-10 Miles"/>
    <x v="1"/>
    <n v="54"/>
    <s v="Middle Age"/>
    <s v="Yes"/>
    <n v="0"/>
    <x v="1"/>
    <x v="0"/>
    <s v="Yes"/>
  </r>
  <r>
    <n v="28319"/>
    <s v="Single"/>
    <x v="0"/>
    <n v="60000"/>
    <n v="1"/>
    <s v="Partial College"/>
    <x v="0"/>
    <s v="No"/>
    <n v="1"/>
    <s v="0-1 Miles"/>
    <x v="1"/>
    <n v="46"/>
    <s v="Middle Age"/>
    <s v="Yes"/>
    <n v="0"/>
    <x v="1"/>
    <x v="0"/>
    <s v="Yes"/>
  </r>
  <r>
    <n v="16406"/>
    <s v="Married"/>
    <x v="1"/>
    <n v="40000"/>
    <n v="0"/>
    <s v="Bachelors"/>
    <x v="1"/>
    <s v="No"/>
    <n v="0"/>
    <s v="0-1 Miles"/>
    <x v="0"/>
    <n v="38"/>
    <s v="Middle Age"/>
    <s v="Yes"/>
    <n v="0"/>
    <x v="0"/>
    <x v="0"/>
    <s v="Yes"/>
  </r>
  <r>
    <n v="20923"/>
    <s v="Married"/>
    <x v="0"/>
    <n v="40000"/>
    <n v="1"/>
    <s v="Bachelors"/>
    <x v="0"/>
    <s v="Yes"/>
    <n v="0"/>
    <s v="0-1 Miles"/>
    <x v="0"/>
    <n v="42"/>
    <s v="Middle Age"/>
    <s v="Yes"/>
    <n v="0"/>
    <x v="0"/>
    <x v="0"/>
    <s v="Yes"/>
  </r>
  <r>
    <n v="11378"/>
    <s v="Single"/>
    <x v="0"/>
    <n v="10000"/>
    <n v="1"/>
    <s v="High School"/>
    <x v="3"/>
    <s v="No"/>
    <n v="1"/>
    <s v="2-5 Miles"/>
    <x v="0"/>
    <n v="46"/>
    <s v="Middle Age"/>
    <s v="Yes"/>
    <n v="0"/>
    <x v="1"/>
    <x v="2"/>
    <s v="Yes"/>
  </r>
  <r>
    <n v="20851"/>
    <s v="Single"/>
    <x v="1"/>
    <n v="20000"/>
    <n v="0"/>
    <s v="Partial College"/>
    <x v="3"/>
    <s v="No"/>
    <n v="1"/>
    <s v="2-5 Miles"/>
    <x v="0"/>
    <n v="36"/>
    <s v="Middle Age"/>
    <s v="Yes"/>
    <n v="0"/>
    <x v="0"/>
    <x v="2"/>
    <s v="Yes"/>
  </r>
  <r>
    <n v="21557"/>
    <s v="Single"/>
    <x v="0"/>
    <n v="110000"/>
    <n v="0"/>
    <s v="Partial College"/>
    <x v="4"/>
    <s v="Yes"/>
    <n v="3"/>
    <s v="10+ Miles"/>
    <x v="1"/>
    <n v="32"/>
    <s v="Middle Age"/>
    <s v="Yes"/>
    <n v="0"/>
    <x v="0"/>
    <x v="1"/>
    <s v="Yes"/>
  </r>
  <r>
    <n v="26663"/>
    <s v="Single"/>
    <x v="0"/>
    <n v="60000"/>
    <n v="2"/>
    <s v="Bachelors"/>
    <x v="2"/>
    <s v="No"/>
    <n v="1"/>
    <s v="0-1 Miles"/>
    <x v="1"/>
    <n v="39"/>
    <s v="Middle Age"/>
    <s v="Yes"/>
    <n v="0"/>
    <x v="0"/>
    <x v="0"/>
    <s v="Yes"/>
  </r>
  <r>
    <n v="11896"/>
    <s v="Married"/>
    <x v="1"/>
    <n v="100000"/>
    <n v="1"/>
    <s v="Graduate Degree"/>
    <x v="4"/>
    <s v="Yes"/>
    <n v="0"/>
    <s v="2-5 Miles"/>
    <x v="1"/>
    <n v="36"/>
    <s v="Middle Age"/>
    <s v="Yes"/>
    <n v="0"/>
    <x v="0"/>
    <x v="1"/>
    <s v="Yes"/>
  </r>
  <r>
    <n v="14189"/>
    <s v="Married"/>
    <x v="0"/>
    <n v="90000"/>
    <n v="4"/>
    <s v="High School"/>
    <x v="2"/>
    <s v="No"/>
    <n v="2"/>
    <s v="2-5 Miles"/>
    <x v="0"/>
    <n v="54"/>
    <s v="Middle Age"/>
    <s v="Yes"/>
    <n v="0"/>
    <x v="1"/>
    <x v="1"/>
    <s v="Yes"/>
  </r>
  <r>
    <n v="13136"/>
    <s v="Married"/>
    <x v="0"/>
    <n v="30000"/>
    <n v="2"/>
    <s v="Partial College"/>
    <x v="1"/>
    <s v="No"/>
    <n v="2"/>
    <s v="5-10 Miles"/>
    <x v="1"/>
    <n v="69"/>
    <s v="Old"/>
    <s v="No"/>
    <n v="0"/>
    <x v="2"/>
    <x v="0"/>
    <s v="No"/>
  </r>
  <r>
    <n v="25906"/>
    <s v="Single"/>
    <x v="0"/>
    <n v="10000"/>
    <n v="5"/>
    <s v="High School"/>
    <x v="0"/>
    <s v="No"/>
    <n v="2"/>
    <s v="1-2 Miles"/>
    <x v="1"/>
    <n v="62"/>
    <s v="Old"/>
    <s v="No"/>
    <n v="0"/>
    <x v="2"/>
    <x v="2"/>
    <s v="No"/>
  </r>
  <r>
    <n v="17926"/>
    <s v="Single"/>
    <x v="0"/>
    <n v="40000"/>
    <n v="0"/>
    <s v="Bachelors"/>
    <x v="1"/>
    <s v="No"/>
    <n v="0"/>
    <s v="0-1 Miles"/>
    <x v="1"/>
    <n v="28"/>
    <s v="Adolescent"/>
    <s v="Yes"/>
    <n v="0"/>
    <x v="3"/>
    <x v="0"/>
    <s v="Yes"/>
  </r>
  <r>
    <n v="26928"/>
    <s v="Single"/>
    <x v="1"/>
    <n v="30000"/>
    <n v="1"/>
    <s v="Bachelors"/>
    <x v="1"/>
    <s v="Yes"/>
    <n v="0"/>
    <s v="0-1 Miles"/>
    <x v="0"/>
    <n v="62"/>
    <s v="Old"/>
    <s v="Yes"/>
    <n v="0"/>
    <x v="2"/>
    <x v="0"/>
    <s v="Yes"/>
  </r>
  <r>
    <n v="20897"/>
    <s v="Married"/>
    <x v="0"/>
    <n v="30000"/>
    <n v="1"/>
    <s v="Bachelors"/>
    <x v="0"/>
    <s v="Yes"/>
    <n v="2"/>
    <s v="0-1 Miles"/>
    <x v="0"/>
    <n v="40"/>
    <s v="Middle Age"/>
    <s v="No"/>
    <n v="0"/>
    <x v="0"/>
    <x v="0"/>
    <s v="No"/>
  </r>
  <r>
    <n v="28207"/>
    <s v="Married"/>
    <x v="1"/>
    <n v="80000"/>
    <n v="4"/>
    <s v="Graduate Degree"/>
    <x v="4"/>
    <s v="Yes"/>
    <n v="1"/>
    <s v="0-1 Miles"/>
    <x v="1"/>
    <n v="36"/>
    <s v="Middle Age"/>
    <s v="Yes"/>
    <n v="0"/>
    <x v="0"/>
    <x v="1"/>
    <s v="Yes"/>
  </r>
  <r>
    <n v="25923"/>
    <s v="Single"/>
    <x v="1"/>
    <n v="10000"/>
    <n v="2"/>
    <s v="Partial High School"/>
    <x v="1"/>
    <s v="Yes"/>
    <n v="2"/>
    <s v="5-10 Miles"/>
    <x v="1"/>
    <n v="58"/>
    <s v="Old"/>
    <s v="No"/>
    <n v="0"/>
    <x v="1"/>
    <x v="2"/>
    <s v="No"/>
  </r>
  <r>
    <n v="11000"/>
    <s v="Married"/>
    <x v="1"/>
    <n v="90000"/>
    <n v="2"/>
    <s v="Bachelors"/>
    <x v="2"/>
    <s v="Yes"/>
    <n v="0"/>
    <s v="1-2 Miles"/>
    <x v="1"/>
    <n v="40"/>
    <s v="Middle Age"/>
    <s v="Yes"/>
    <n v="0"/>
    <x v="0"/>
    <x v="1"/>
    <s v="Yes"/>
  </r>
  <r>
    <n v="20974"/>
    <s v="Married"/>
    <x v="1"/>
    <n v="10000"/>
    <n v="2"/>
    <s v="Bachelors"/>
    <x v="1"/>
    <s v="Yes"/>
    <n v="1"/>
    <s v="0-1 Miles"/>
    <x v="0"/>
    <n v="66"/>
    <s v="Old"/>
    <s v="No"/>
    <n v="0"/>
    <x v="2"/>
    <x v="2"/>
    <s v="No"/>
  </r>
  <r>
    <n v="28758"/>
    <s v="Married"/>
    <x v="1"/>
    <n v="40000"/>
    <n v="2"/>
    <s v="Partial College"/>
    <x v="1"/>
    <s v="Yes"/>
    <n v="1"/>
    <s v="1-2 Miles"/>
    <x v="0"/>
    <n v="35"/>
    <s v="Middle Age"/>
    <s v="Yes"/>
    <n v="0"/>
    <x v="0"/>
    <x v="0"/>
    <s v="Yes"/>
  </r>
  <r>
    <n v="11381"/>
    <s v="Married"/>
    <x v="0"/>
    <n v="20000"/>
    <n v="2"/>
    <s v="Partial College"/>
    <x v="3"/>
    <s v="Yes"/>
    <n v="1"/>
    <s v="2-5 Miles"/>
    <x v="0"/>
    <n v="47"/>
    <s v="Middle Age"/>
    <s v="Yes"/>
    <n v="0"/>
    <x v="1"/>
    <x v="2"/>
    <s v="Yes"/>
  </r>
  <r>
    <n v="17522"/>
    <s v="Married"/>
    <x v="1"/>
    <n v="120000"/>
    <n v="4"/>
    <s v="Bachelors"/>
    <x v="4"/>
    <s v="Yes"/>
    <n v="1"/>
    <s v="2-5 Miles"/>
    <x v="1"/>
    <n v="47"/>
    <s v="Middle Age"/>
    <s v="No"/>
    <n v="0"/>
    <x v="1"/>
    <x v="1"/>
    <s v="No"/>
  </r>
  <r>
    <n v="21207"/>
    <s v="Married"/>
    <x v="1"/>
    <n v="60000"/>
    <n v="1"/>
    <s v="Partial College"/>
    <x v="0"/>
    <s v="Yes"/>
    <n v="1"/>
    <s v="5-10 Miles"/>
    <x v="1"/>
    <n v="46"/>
    <s v="Middle Age"/>
    <s v="No"/>
    <n v="0"/>
    <x v="1"/>
    <x v="0"/>
    <s v="No"/>
  </r>
  <r>
    <n v="28102"/>
    <s v="Married"/>
    <x v="1"/>
    <n v="20000"/>
    <n v="4"/>
    <s v="High School"/>
    <x v="0"/>
    <s v="Yes"/>
    <n v="2"/>
    <s v="5-10 Miles"/>
    <x v="1"/>
    <n v="58"/>
    <s v="Old"/>
    <s v="Yes"/>
    <n v="0"/>
    <x v="1"/>
    <x v="2"/>
    <s v="Yes"/>
  </r>
  <r>
    <n v="23105"/>
    <s v="Single"/>
    <x v="1"/>
    <n v="40000"/>
    <n v="3"/>
    <s v="Partial High School"/>
    <x v="1"/>
    <s v="No"/>
    <n v="2"/>
    <s v="5-10 Miles"/>
    <x v="1"/>
    <n v="52"/>
    <s v="Middle Age"/>
    <s v="Yes"/>
    <n v="0"/>
    <x v="1"/>
    <x v="0"/>
    <s v="Yes"/>
  </r>
  <r>
    <n v="18740"/>
    <s v="Married"/>
    <x v="1"/>
    <n v="80000"/>
    <n v="5"/>
    <s v="Bachelors"/>
    <x v="2"/>
    <s v="No"/>
    <n v="1"/>
    <s v="0-1 Miles"/>
    <x v="1"/>
    <n v="47"/>
    <s v="Middle Age"/>
    <s v="Yes"/>
    <n v="0"/>
    <x v="1"/>
    <x v="1"/>
    <s v="Yes"/>
  </r>
  <r>
    <n v="21213"/>
    <s v="Single"/>
    <x v="1"/>
    <n v="70000"/>
    <n v="0"/>
    <s v="Bachelors"/>
    <x v="2"/>
    <s v="No"/>
    <n v="1"/>
    <s v="5-10 Miles"/>
    <x v="1"/>
    <n v="41"/>
    <s v="Middle Age"/>
    <s v="No"/>
    <n v="0"/>
    <x v="0"/>
    <x v="0"/>
    <s v="No"/>
  </r>
  <r>
    <n v="17352"/>
    <s v="Married"/>
    <x v="1"/>
    <n v="50000"/>
    <n v="2"/>
    <s v="Graduate Degree"/>
    <x v="4"/>
    <s v="Yes"/>
    <n v="1"/>
    <s v="5-10 Miles"/>
    <x v="1"/>
    <n v="64"/>
    <s v="Old"/>
    <s v="Yes"/>
    <n v="0"/>
    <x v="2"/>
    <x v="0"/>
    <s v="Yes"/>
  </r>
  <r>
    <n v="14154"/>
    <s v="Married"/>
    <x v="1"/>
    <n v="30000"/>
    <n v="0"/>
    <s v="Bachelors"/>
    <x v="1"/>
    <s v="Yes"/>
    <n v="0"/>
    <s v="0-1 Miles"/>
    <x v="0"/>
    <n v="35"/>
    <s v="Middle Age"/>
    <s v="Yes"/>
    <n v="0"/>
    <x v="0"/>
    <x v="0"/>
    <s v="Yes"/>
  </r>
  <r>
    <n v="19066"/>
    <s v="Married"/>
    <x v="1"/>
    <n v="130000"/>
    <n v="4"/>
    <s v="Partial College"/>
    <x v="2"/>
    <s v="No"/>
    <n v="3"/>
    <s v="10+ Miles"/>
    <x v="0"/>
    <n v="54"/>
    <s v="Middle Age"/>
    <s v="No"/>
    <n v="0"/>
    <x v="1"/>
    <x v="1"/>
    <s v="No"/>
  </r>
  <r>
    <n v="11386"/>
    <s v="Married"/>
    <x v="0"/>
    <n v="30000"/>
    <n v="3"/>
    <s v="Bachelors"/>
    <x v="1"/>
    <s v="Yes"/>
    <n v="0"/>
    <s v="0-1 Miles"/>
    <x v="0"/>
    <n v="45"/>
    <s v="Middle Age"/>
    <s v="No"/>
    <n v="0"/>
    <x v="0"/>
    <x v="0"/>
    <s v="No"/>
  </r>
  <r>
    <n v="20228"/>
    <s v="Married"/>
    <x v="1"/>
    <n v="100000"/>
    <n v="0"/>
    <s v="Graduate Degree"/>
    <x v="4"/>
    <s v="Yes"/>
    <n v="0"/>
    <s v="2-5 Miles"/>
    <x v="1"/>
    <n v="40"/>
    <s v="Middle Age"/>
    <s v="Yes"/>
    <n v="0"/>
    <x v="0"/>
    <x v="1"/>
    <s v="Yes"/>
  </r>
  <r>
    <n v="16675"/>
    <s v="Single"/>
    <x v="0"/>
    <n v="160000"/>
    <n v="0"/>
    <s v="Graduate Degree"/>
    <x v="4"/>
    <s v="No"/>
    <n v="3"/>
    <s v="0-1 Miles"/>
    <x v="1"/>
    <n v="47"/>
    <s v="Middle Age"/>
    <s v="Yes"/>
    <n v="0"/>
    <x v="1"/>
    <x v="1"/>
    <s v="Yes"/>
  </r>
  <r>
    <n v="16410"/>
    <s v="Single"/>
    <x v="0"/>
    <n v="10000"/>
    <n v="4"/>
    <s v="Partial High School"/>
    <x v="3"/>
    <s v="Yes"/>
    <n v="2"/>
    <s v="0-1 Miles"/>
    <x v="0"/>
    <n v="41"/>
    <s v="Middle Age"/>
    <s v="Yes"/>
    <n v="0"/>
    <x v="0"/>
    <x v="2"/>
    <s v="Yes"/>
  </r>
  <r>
    <n v="27760"/>
    <s v="Single"/>
    <x v="0"/>
    <n v="40000"/>
    <n v="0"/>
    <s v="Graduate Degree"/>
    <x v="1"/>
    <s v="No"/>
    <n v="0"/>
    <s v="0-1 Miles"/>
    <x v="0"/>
    <n v="37"/>
    <s v="Middle Age"/>
    <s v="Yes"/>
    <n v="0"/>
    <x v="0"/>
    <x v="0"/>
    <s v="Yes"/>
  </r>
  <r>
    <n v="22930"/>
    <s v="Married"/>
    <x v="1"/>
    <n v="90000"/>
    <n v="4"/>
    <s v="Bachelors"/>
    <x v="2"/>
    <s v="Yes"/>
    <n v="0"/>
    <s v="1-2 Miles"/>
    <x v="1"/>
    <n v="38"/>
    <s v="Middle Age"/>
    <s v="Yes"/>
    <n v="0"/>
    <x v="0"/>
    <x v="1"/>
    <s v="Yes"/>
  </r>
  <r>
    <n v="23780"/>
    <s v="Single"/>
    <x v="1"/>
    <n v="40000"/>
    <n v="2"/>
    <s v="Partial College"/>
    <x v="1"/>
    <s v="No"/>
    <n v="2"/>
    <s v="0-1 Miles"/>
    <x v="0"/>
    <n v="36"/>
    <s v="Middle Age"/>
    <s v="Yes"/>
    <n v="0"/>
    <x v="0"/>
    <x v="0"/>
    <s v="Yes"/>
  </r>
  <r>
    <n v="20994"/>
    <s v="Married"/>
    <x v="0"/>
    <n v="20000"/>
    <n v="0"/>
    <s v="Bachelors"/>
    <x v="1"/>
    <s v="No"/>
    <n v="0"/>
    <s v="0-1 Miles"/>
    <x v="1"/>
    <n v="26"/>
    <s v="Adolescent"/>
    <s v="Yes"/>
    <n v="0"/>
    <x v="3"/>
    <x v="2"/>
    <s v="Yes"/>
  </r>
  <r>
    <n v="28379"/>
    <s v="Married"/>
    <x v="1"/>
    <n v="30000"/>
    <n v="1"/>
    <s v="Bachelors"/>
    <x v="0"/>
    <s v="Yes"/>
    <n v="2"/>
    <s v="0-1 Miles"/>
    <x v="0"/>
    <n v="40"/>
    <s v="Middle Age"/>
    <s v="No"/>
    <n v="0"/>
    <x v="0"/>
    <x v="0"/>
    <s v="No"/>
  </r>
  <r>
    <n v="14865"/>
    <s v="Single"/>
    <x v="1"/>
    <n v="40000"/>
    <n v="2"/>
    <s v="Partial College"/>
    <x v="1"/>
    <s v="Yes"/>
    <n v="2"/>
    <s v="1-2 Miles"/>
    <x v="0"/>
    <n v="36"/>
    <s v="Middle Age"/>
    <s v="No"/>
    <n v="0"/>
    <x v="0"/>
    <x v="0"/>
    <s v="No"/>
  </r>
  <r>
    <n v="12663"/>
    <s v="Married"/>
    <x v="0"/>
    <n v="90000"/>
    <n v="5"/>
    <s v="Partial High School"/>
    <x v="0"/>
    <s v="Yes"/>
    <n v="2"/>
    <s v="10+ Miles"/>
    <x v="0"/>
    <n v="59"/>
    <s v="Old"/>
    <s v="No"/>
    <n v="0"/>
    <x v="1"/>
    <x v="1"/>
    <s v="No"/>
  </r>
  <r>
    <n v="24898"/>
    <s v="Single"/>
    <x v="0"/>
    <n v="80000"/>
    <n v="0"/>
    <s v="Bachelors"/>
    <x v="2"/>
    <s v="Yes"/>
    <n v="3"/>
    <s v="10+ Miles"/>
    <x v="1"/>
    <n v="32"/>
    <s v="Middle Age"/>
    <s v="No"/>
    <n v="0"/>
    <x v="0"/>
    <x v="1"/>
    <s v="No"/>
  </r>
  <r>
    <n v="19508"/>
    <s v="Married"/>
    <x v="1"/>
    <n v="10000"/>
    <n v="0"/>
    <s v="Partial High School"/>
    <x v="3"/>
    <s v="No"/>
    <n v="2"/>
    <s v="0-1 Miles"/>
    <x v="0"/>
    <n v="30"/>
    <s v="Adolescent"/>
    <s v="No"/>
    <n v="0"/>
    <x v="0"/>
    <x v="2"/>
    <s v="No"/>
  </r>
  <r>
    <n v="11489"/>
    <s v="Single"/>
    <x v="0"/>
    <n v="20000"/>
    <n v="0"/>
    <s v="Partial High School"/>
    <x v="3"/>
    <s v="No"/>
    <n v="2"/>
    <s v="1-2 Miles"/>
    <x v="0"/>
    <n v="35"/>
    <s v="Middle Age"/>
    <s v="Yes"/>
    <n v="0"/>
    <x v="0"/>
    <x v="2"/>
    <s v="Yes"/>
  </r>
  <r>
    <n v="18160"/>
    <s v="Married"/>
    <x v="1"/>
    <n v="130000"/>
    <n v="3"/>
    <s v="High School"/>
    <x v="2"/>
    <s v="Yes"/>
    <n v="4"/>
    <s v="5-10 Miles"/>
    <x v="0"/>
    <n v="51"/>
    <s v="Middle Age"/>
    <s v="Yes"/>
    <n v="0"/>
    <x v="1"/>
    <x v="1"/>
    <s v="Yes"/>
  </r>
  <r>
    <n v="25241"/>
    <s v="Married"/>
    <x v="1"/>
    <n v="90000"/>
    <n v="2"/>
    <s v="Bachelors"/>
    <x v="2"/>
    <s v="Yes"/>
    <n v="1"/>
    <s v="5-10 Miles"/>
    <x v="1"/>
    <n v="47"/>
    <s v="Middle Age"/>
    <s v="No"/>
    <n v="0"/>
    <x v="1"/>
    <x v="1"/>
    <s v="No"/>
  </r>
  <r>
    <n v="24369"/>
    <s v="Married"/>
    <x v="1"/>
    <n v="80000"/>
    <n v="5"/>
    <s v="Graduate Degree"/>
    <x v="4"/>
    <s v="No"/>
    <n v="2"/>
    <s v="0-1 Miles"/>
    <x v="1"/>
    <n v="39"/>
    <s v="Middle Age"/>
    <s v="No"/>
    <n v="0"/>
    <x v="0"/>
    <x v="1"/>
    <s v="No"/>
  </r>
  <r>
    <n v="27165"/>
    <s v="Single"/>
    <x v="1"/>
    <n v="20000"/>
    <n v="0"/>
    <s v="Partial High School"/>
    <x v="3"/>
    <s v="No"/>
    <n v="2"/>
    <s v="0-1 Miles"/>
    <x v="0"/>
    <n v="34"/>
    <s v="Middle Age"/>
    <s v="No"/>
    <n v="0"/>
    <x v="0"/>
    <x v="2"/>
    <s v="No"/>
  </r>
  <r>
    <n v="29424"/>
    <s v="Married"/>
    <x v="1"/>
    <n v="10000"/>
    <n v="0"/>
    <s v="Partial High School"/>
    <x v="3"/>
    <s v="Yes"/>
    <n v="2"/>
    <s v="0-1 Miles"/>
    <x v="0"/>
    <n v="32"/>
    <s v="Middle Age"/>
    <s v="No"/>
    <n v="0"/>
    <x v="0"/>
    <x v="2"/>
    <s v="No"/>
  </r>
  <r>
    <n v="15926"/>
    <s v="Single"/>
    <x v="0"/>
    <n v="120000"/>
    <n v="3"/>
    <s v="High School"/>
    <x v="2"/>
    <s v="Yes"/>
    <n v="4"/>
    <s v="5-10 Miles"/>
    <x v="0"/>
    <n v="50"/>
    <s v="Middle Age"/>
    <s v="Yes"/>
    <n v="0"/>
    <x v="1"/>
    <x v="1"/>
    <s v="Yes"/>
  </r>
  <r>
    <n v="14554"/>
    <s v="Married"/>
    <x v="1"/>
    <n v="20000"/>
    <n v="1"/>
    <s v="Bachelors"/>
    <x v="1"/>
    <s v="Yes"/>
    <n v="0"/>
    <s v="0-1 Miles"/>
    <x v="0"/>
    <n v="66"/>
    <s v="Old"/>
    <s v="No"/>
    <n v="0"/>
    <x v="2"/>
    <x v="2"/>
    <s v="No"/>
  </r>
  <r>
    <n v="16468"/>
    <s v="Single"/>
    <x v="1"/>
    <n v="30000"/>
    <n v="0"/>
    <s v="Partial College"/>
    <x v="1"/>
    <s v="Yes"/>
    <n v="1"/>
    <s v="2-5 Miles"/>
    <x v="0"/>
    <n v="30"/>
    <s v="Adolescent"/>
    <s v="No"/>
    <n v="0"/>
    <x v="0"/>
    <x v="0"/>
    <s v="No"/>
  </r>
  <r>
    <n v="19174"/>
    <s v="Single"/>
    <x v="0"/>
    <n v="30000"/>
    <n v="0"/>
    <s v="High School"/>
    <x v="3"/>
    <s v="No"/>
    <n v="1"/>
    <s v="2-5 Miles"/>
    <x v="0"/>
    <n v="32"/>
    <s v="Middle Age"/>
    <s v="Yes"/>
    <n v="0"/>
    <x v="0"/>
    <x v="0"/>
    <s v="Yes"/>
  </r>
  <r>
    <n v="19183"/>
    <s v="Single"/>
    <x v="1"/>
    <n v="10000"/>
    <n v="0"/>
    <s v="Partial High School"/>
    <x v="3"/>
    <s v="Yes"/>
    <n v="2"/>
    <s v="1-2 Miles"/>
    <x v="0"/>
    <n v="35"/>
    <s v="Middle Age"/>
    <s v="No"/>
    <n v="0"/>
    <x v="0"/>
    <x v="2"/>
    <s v="No"/>
  </r>
  <r>
    <n v="13683"/>
    <s v="Single"/>
    <x v="0"/>
    <n v="30000"/>
    <n v="0"/>
    <s v="High School"/>
    <x v="3"/>
    <s v="No"/>
    <n v="1"/>
    <s v="2-5 Miles"/>
    <x v="0"/>
    <n v="32"/>
    <s v="Middle Age"/>
    <s v="No"/>
    <n v="0"/>
    <x v="0"/>
    <x v="0"/>
    <s v="No"/>
  </r>
  <r>
    <n v="17848"/>
    <s v="Single"/>
    <x v="1"/>
    <n v="30000"/>
    <n v="0"/>
    <s v="Partial College"/>
    <x v="1"/>
    <s v="No"/>
    <n v="1"/>
    <s v="2-5 Miles"/>
    <x v="0"/>
    <n v="31"/>
    <s v="Middle Age"/>
    <s v="Yes"/>
    <n v="0"/>
    <x v="0"/>
    <x v="0"/>
    <s v="Yes"/>
  </r>
  <r>
    <n v="17894"/>
    <s v="Married"/>
    <x v="0"/>
    <n v="20000"/>
    <n v="1"/>
    <s v="Bachelors"/>
    <x v="1"/>
    <s v="Yes"/>
    <n v="0"/>
    <s v="0-1 Miles"/>
    <x v="0"/>
    <n v="50"/>
    <s v="Middle Age"/>
    <s v="Yes"/>
    <n v="0"/>
    <x v="1"/>
    <x v="2"/>
    <s v="Yes"/>
  </r>
  <r>
    <n v="25651"/>
    <s v="Married"/>
    <x v="1"/>
    <n v="40000"/>
    <n v="1"/>
    <s v="Bachelors"/>
    <x v="0"/>
    <s v="No"/>
    <n v="0"/>
    <s v="0-1 Miles"/>
    <x v="0"/>
    <n v="43"/>
    <s v="Middle Age"/>
    <s v="Yes"/>
    <n v="0"/>
    <x v="0"/>
    <x v="0"/>
    <s v="Yes"/>
  </r>
  <r>
    <n v="22936"/>
    <s v="Single"/>
    <x v="0"/>
    <n v="60000"/>
    <n v="1"/>
    <s v="Partial College"/>
    <x v="0"/>
    <s v="No"/>
    <n v="1"/>
    <s v="0-1 Miles"/>
    <x v="1"/>
    <n v="45"/>
    <s v="Middle Age"/>
    <s v="Yes"/>
    <n v="0"/>
    <x v="0"/>
    <x v="0"/>
    <s v="Yes"/>
  </r>
  <r>
    <n v="23915"/>
    <s v="Married"/>
    <x v="1"/>
    <n v="20000"/>
    <n v="2"/>
    <s v="High School"/>
    <x v="3"/>
    <s v="Yes"/>
    <n v="2"/>
    <s v="0-1 Miles"/>
    <x v="0"/>
    <n v="42"/>
    <s v="Middle Age"/>
    <s v="No"/>
    <n v="0"/>
    <x v="0"/>
    <x v="2"/>
    <s v="No"/>
  </r>
  <r>
    <n v="24121"/>
    <s v="Single"/>
    <x v="0"/>
    <n v="30000"/>
    <n v="0"/>
    <s v="Partial College"/>
    <x v="1"/>
    <s v="No"/>
    <n v="1"/>
    <s v="0-1 Miles"/>
    <x v="0"/>
    <n v="29"/>
    <s v="Adolescent"/>
    <s v="Yes"/>
    <n v="0"/>
    <x v="3"/>
    <x v="0"/>
    <s v="Yes"/>
  </r>
  <r>
    <n v="27878"/>
    <s v="Single"/>
    <x v="1"/>
    <n v="20000"/>
    <n v="0"/>
    <s v="Partial College"/>
    <x v="3"/>
    <s v="No"/>
    <n v="0"/>
    <s v="0-1 Miles"/>
    <x v="1"/>
    <n v="28"/>
    <s v="Adolescent"/>
    <s v="Yes"/>
    <n v="0"/>
    <x v="3"/>
    <x v="2"/>
    <s v="Yes"/>
  </r>
  <r>
    <n v="13572"/>
    <s v="Single"/>
    <x v="1"/>
    <n v="10000"/>
    <n v="3"/>
    <s v="High School"/>
    <x v="3"/>
    <s v="Yes"/>
    <n v="0"/>
    <s v="0-1 Miles"/>
    <x v="0"/>
    <n v="37"/>
    <s v="Middle Age"/>
    <s v="Yes"/>
    <n v="0"/>
    <x v="0"/>
    <x v="2"/>
    <s v="Yes"/>
  </r>
  <r>
    <n v="27941"/>
    <s v="Married"/>
    <x v="0"/>
    <n v="80000"/>
    <n v="4"/>
    <s v="Partial College"/>
    <x v="2"/>
    <s v="Yes"/>
    <n v="2"/>
    <s v="2-5 Miles"/>
    <x v="0"/>
    <n v="53"/>
    <s v="Middle Age"/>
    <s v="No"/>
    <n v="0"/>
    <x v="1"/>
    <x v="1"/>
    <s v="No"/>
  </r>
  <r>
    <n v="26354"/>
    <s v="Single"/>
    <x v="1"/>
    <n v="40000"/>
    <n v="0"/>
    <s v="Graduate Degree"/>
    <x v="1"/>
    <s v="No"/>
    <n v="0"/>
    <s v="0-1 Miles"/>
    <x v="0"/>
    <n v="38"/>
    <s v="Middle Age"/>
    <s v="Yes"/>
    <n v="0"/>
    <x v="0"/>
    <x v="0"/>
    <s v="Yes"/>
  </r>
  <r>
    <n v="14785"/>
    <s v="Single"/>
    <x v="1"/>
    <n v="30000"/>
    <n v="1"/>
    <s v="Bachelors"/>
    <x v="1"/>
    <s v="No"/>
    <n v="1"/>
    <s v="1-2 Miles"/>
    <x v="0"/>
    <n v="39"/>
    <s v="Middle Age"/>
    <s v="No"/>
    <n v="0"/>
    <x v="0"/>
    <x v="0"/>
    <s v="No"/>
  </r>
  <r>
    <n v="17238"/>
    <s v="Single"/>
    <x v="1"/>
    <n v="80000"/>
    <n v="0"/>
    <s v="Bachelors"/>
    <x v="2"/>
    <s v="Yes"/>
    <n v="3"/>
    <s v="10+ Miles"/>
    <x v="1"/>
    <n v="32"/>
    <s v="Middle Age"/>
    <s v="No"/>
    <n v="0"/>
    <x v="0"/>
    <x v="1"/>
    <s v="No"/>
  </r>
  <r>
    <n v="23608"/>
    <s v="Married"/>
    <x v="0"/>
    <n v="150000"/>
    <n v="3"/>
    <s v="High School"/>
    <x v="2"/>
    <s v="Yes"/>
    <n v="3"/>
    <s v="0-1 Miles"/>
    <x v="0"/>
    <n v="51"/>
    <s v="Middle Age"/>
    <s v="Yes"/>
    <n v="0"/>
    <x v="1"/>
    <x v="1"/>
    <s v="Yes"/>
  </r>
  <r>
    <n v="22538"/>
    <s v="Single"/>
    <x v="0"/>
    <n v="10000"/>
    <n v="0"/>
    <s v="Partial High School"/>
    <x v="3"/>
    <s v="Yes"/>
    <n v="2"/>
    <s v="1-2 Miles"/>
    <x v="0"/>
    <n v="33"/>
    <s v="Middle Age"/>
    <s v="No"/>
    <n v="0"/>
    <x v="0"/>
    <x v="2"/>
    <s v="No"/>
  </r>
  <r>
    <n v="12332"/>
    <s v="Married"/>
    <x v="1"/>
    <n v="90000"/>
    <n v="4"/>
    <s v="High School"/>
    <x v="4"/>
    <s v="Yes"/>
    <n v="3"/>
    <s v="5-10 Miles"/>
    <x v="0"/>
    <n v="58"/>
    <s v="Old"/>
    <s v="Yes"/>
    <n v="0"/>
    <x v="1"/>
    <x v="1"/>
    <s v="Yes"/>
  </r>
  <r>
    <n v="17230"/>
    <s v="Married"/>
    <x v="1"/>
    <n v="80000"/>
    <n v="0"/>
    <s v="Bachelors"/>
    <x v="2"/>
    <s v="Yes"/>
    <n v="3"/>
    <s v="10+ Miles"/>
    <x v="1"/>
    <n v="30"/>
    <s v="Adolescent"/>
    <s v="No"/>
    <n v="0"/>
    <x v="0"/>
    <x v="1"/>
    <s v="No"/>
  </r>
  <r>
    <n v="13082"/>
    <s v="Single"/>
    <x v="1"/>
    <n v="130000"/>
    <n v="0"/>
    <s v="Graduate Degree"/>
    <x v="4"/>
    <s v="Yes"/>
    <n v="0"/>
    <s v="2-5 Miles"/>
    <x v="1"/>
    <n v="48"/>
    <s v="Middle Age"/>
    <s v="Yes"/>
    <n v="0"/>
    <x v="1"/>
    <x v="1"/>
    <s v="Yes"/>
  </r>
  <r>
    <n v="22518"/>
    <s v="Single"/>
    <x v="0"/>
    <n v="30000"/>
    <n v="3"/>
    <s v="Partial College"/>
    <x v="1"/>
    <s v="No"/>
    <n v="2"/>
    <s v="0-1 Miles"/>
    <x v="0"/>
    <n v="27"/>
    <s v="Adolescent"/>
    <s v="Yes"/>
    <n v="0"/>
    <x v="3"/>
    <x v="0"/>
    <s v="Yes"/>
  </r>
  <r>
    <n v="13687"/>
    <s v="Married"/>
    <x v="1"/>
    <n v="40000"/>
    <n v="1"/>
    <s v="Bachelors"/>
    <x v="0"/>
    <s v="Yes"/>
    <n v="1"/>
    <s v="0-1 Miles"/>
    <x v="0"/>
    <n v="33"/>
    <s v="Middle Age"/>
    <s v="Yes"/>
    <n v="0"/>
    <x v="0"/>
    <x v="0"/>
    <s v="Yes"/>
  </r>
  <r>
    <n v="23571"/>
    <s v="Married"/>
    <x v="0"/>
    <n v="40000"/>
    <n v="2"/>
    <s v="Bachelors"/>
    <x v="4"/>
    <s v="Yes"/>
    <n v="2"/>
    <s v="0-1 Miles"/>
    <x v="1"/>
    <n v="66"/>
    <s v="Old"/>
    <s v="Yes"/>
    <n v="0"/>
    <x v="2"/>
    <x v="0"/>
    <s v="Yes"/>
  </r>
  <r>
    <n v="19305"/>
    <s v="Single"/>
    <x v="0"/>
    <n v="10000"/>
    <n v="2"/>
    <s v="High School"/>
    <x v="3"/>
    <s v="Yes"/>
    <n v="1"/>
    <s v="0-1 Miles"/>
    <x v="0"/>
    <n v="38"/>
    <s v="Middle Age"/>
    <s v="Yes"/>
    <n v="0"/>
    <x v="0"/>
    <x v="2"/>
    <s v="Yes"/>
  </r>
  <r>
    <n v="22636"/>
    <s v="Single"/>
    <x v="0"/>
    <n v="40000"/>
    <n v="0"/>
    <s v="Bachelors"/>
    <x v="1"/>
    <s v="No"/>
    <n v="0"/>
    <s v="0-1 Miles"/>
    <x v="0"/>
    <n v="38"/>
    <s v="Middle Age"/>
    <s v="Yes"/>
    <n v="0"/>
    <x v="0"/>
    <x v="0"/>
    <s v="Yes"/>
  </r>
  <r>
    <n v="17310"/>
    <s v="Married"/>
    <x v="1"/>
    <n v="60000"/>
    <n v="1"/>
    <s v="Partial College"/>
    <x v="0"/>
    <s v="Yes"/>
    <n v="1"/>
    <s v="0-1 Miles"/>
    <x v="1"/>
    <n v="45"/>
    <s v="Middle Age"/>
    <s v="Yes"/>
    <n v="0"/>
    <x v="0"/>
    <x v="0"/>
    <s v="Yes"/>
  </r>
  <r>
    <n v="12133"/>
    <s v="Married"/>
    <x v="0"/>
    <n v="130000"/>
    <n v="3"/>
    <s v="Partial College"/>
    <x v="2"/>
    <s v="Yes"/>
    <n v="3"/>
    <s v="5-10 Miles"/>
    <x v="0"/>
    <n v="50"/>
    <s v="Middle Age"/>
    <s v="Yes"/>
    <n v="0"/>
    <x v="1"/>
    <x v="1"/>
    <s v="Yes"/>
  </r>
  <r>
    <n v="25918"/>
    <s v="Single"/>
    <x v="0"/>
    <n v="30000"/>
    <n v="2"/>
    <s v="Partial College"/>
    <x v="1"/>
    <s v="No"/>
    <n v="2"/>
    <s v="5-10 Miles"/>
    <x v="1"/>
    <n v="60"/>
    <s v="Old"/>
    <s v="Yes"/>
    <n v="0"/>
    <x v="1"/>
    <x v="0"/>
    <s v="Yes"/>
  </r>
  <r>
    <n v="25752"/>
    <s v="Single"/>
    <x v="0"/>
    <n v="20000"/>
    <n v="2"/>
    <s v="Partial College"/>
    <x v="3"/>
    <s v="No"/>
    <n v="1"/>
    <s v="0-1 Miles"/>
    <x v="0"/>
    <n v="53"/>
    <s v="Middle Age"/>
    <s v="Yes"/>
    <n v="0"/>
    <x v="1"/>
    <x v="2"/>
    <s v="Yes"/>
  </r>
  <r>
    <n v="17324"/>
    <s v="Married"/>
    <x v="0"/>
    <n v="100000"/>
    <n v="4"/>
    <s v="Bachelors"/>
    <x v="2"/>
    <s v="Yes"/>
    <n v="1"/>
    <s v="10+ Miles"/>
    <x v="1"/>
    <n v="46"/>
    <s v="Middle Age"/>
    <s v="No"/>
    <n v="0"/>
    <x v="1"/>
    <x v="1"/>
    <s v="No"/>
  </r>
  <r>
    <n v="22918"/>
    <s v="Single"/>
    <x v="1"/>
    <n v="80000"/>
    <n v="5"/>
    <s v="Graduate Degree"/>
    <x v="4"/>
    <s v="Yes"/>
    <n v="3"/>
    <s v="0-1 Miles"/>
    <x v="1"/>
    <n v="50"/>
    <s v="Middle Age"/>
    <s v="No"/>
    <n v="0"/>
    <x v="1"/>
    <x v="1"/>
    <s v="No"/>
  </r>
  <r>
    <n v="12510"/>
    <s v="Married"/>
    <x v="1"/>
    <n v="40000"/>
    <n v="1"/>
    <s v="Bachelors"/>
    <x v="0"/>
    <s v="Yes"/>
    <n v="1"/>
    <s v="0-1 Miles"/>
    <x v="0"/>
    <n v="43"/>
    <s v="Middle Age"/>
    <s v="Yes"/>
    <n v="0"/>
    <x v="0"/>
    <x v="0"/>
    <s v="Yes"/>
  </r>
  <r>
    <n v="25512"/>
    <s v="Single"/>
    <x v="1"/>
    <n v="20000"/>
    <n v="0"/>
    <s v="High School"/>
    <x v="3"/>
    <s v="No"/>
    <n v="1"/>
    <s v="2-5 Miles"/>
    <x v="0"/>
    <n v="30"/>
    <s v="Adolescent"/>
    <s v="No"/>
    <n v="0"/>
    <x v="0"/>
    <x v="2"/>
    <s v="No"/>
  </r>
  <r>
    <n v="16179"/>
    <s v="Single"/>
    <x v="0"/>
    <n v="80000"/>
    <n v="5"/>
    <s v="Bachelors"/>
    <x v="2"/>
    <s v="Yes"/>
    <n v="4"/>
    <s v="1-2 Miles"/>
    <x v="1"/>
    <n v="38"/>
    <s v="Middle Age"/>
    <s v="No"/>
    <n v="0"/>
    <x v="0"/>
    <x v="1"/>
    <s v="No"/>
  </r>
  <r>
    <n v="15628"/>
    <s v="Married"/>
    <x v="0"/>
    <n v="40000"/>
    <n v="1"/>
    <s v="Bachelors"/>
    <x v="0"/>
    <s v="Yes"/>
    <n v="1"/>
    <s v="0-1 Miles"/>
    <x v="0"/>
    <n v="89"/>
    <s v="Old"/>
    <s v="No"/>
    <n v="0"/>
    <x v="2"/>
    <x v="0"/>
    <s v="No"/>
  </r>
  <r>
    <n v="20977"/>
    <s v="Married"/>
    <x v="1"/>
    <n v="20000"/>
    <n v="1"/>
    <s v="Bachelors"/>
    <x v="1"/>
    <s v="Yes"/>
    <n v="0"/>
    <s v="0-1 Miles"/>
    <x v="0"/>
    <n v="64"/>
    <s v="Old"/>
    <s v="Yes"/>
    <n v="0"/>
    <x v="2"/>
    <x v="2"/>
    <s v="Yes"/>
  </r>
  <r>
    <n v="18140"/>
    <s v="Married"/>
    <x v="1"/>
    <n v="130000"/>
    <n v="3"/>
    <s v="Partial College"/>
    <x v="2"/>
    <s v="No"/>
    <n v="3"/>
    <s v="5-10 Miles"/>
    <x v="0"/>
    <n v="51"/>
    <s v="Middle Age"/>
    <s v="Yes"/>
    <n v="0"/>
    <x v="1"/>
    <x v="1"/>
    <s v="Yes"/>
  </r>
  <r>
    <n v="20417"/>
    <s v="Married"/>
    <x v="1"/>
    <n v="30000"/>
    <n v="3"/>
    <s v="Partial College"/>
    <x v="1"/>
    <s v="No"/>
    <n v="2"/>
    <s v="5-10 Miles"/>
    <x v="1"/>
    <n v="56"/>
    <s v="Old"/>
    <s v="No"/>
    <n v="0"/>
    <x v="1"/>
    <x v="0"/>
    <s v="No"/>
  </r>
  <r>
    <n v="18267"/>
    <s v="Married"/>
    <x v="1"/>
    <n v="60000"/>
    <n v="3"/>
    <s v="Bachelors"/>
    <x v="2"/>
    <s v="Yes"/>
    <n v="2"/>
    <s v="5-10 Miles"/>
    <x v="1"/>
    <n v="43"/>
    <s v="Middle Age"/>
    <s v="No"/>
    <n v="0"/>
    <x v="0"/>
    <x v="0"/>
    <s v="No"/>
  </r>
  <r>
    <n v="13620"/>
    <s v="Single"/>
    <x v="1"/>
    <n v="70000"/>
    <n v="0"/>
    <s v="Bachelors"/>
    <x v="2"/>
    <s v="No"/>
    <n v="3"/>
    <s v="10+ Miles"/>
    <x v="1"/>
    <n v="30"/>
    <s v="Adolescent"/>
    <s v="Yes"/>
    <n v="0"/>
    <x v="0"/>
    <x v="0"/>
    <s v="Yes"/>
  </r>
  <r>
    <n v="22974"/>
    <s v="Married"/>
    <x v="0"/>
    <n v="30000"/>
    <n v="2"/>
    <s v="Partial College"/>
    <x v="1"/>
    <s v="Yes"/>
    <n v="2"/>
    <s v="5-10 Miles"/>
    <x v="1"/>
    <n v="69"/>
    <s v="Old"/>
    <s v="No"/>
    <n v="0"/>
    <x v="2"/>
    <x v="0"/>
    <s v="No"/>
  </r>
  <r>
    <n v="13586"/>
    <s v="Married"/>
    <x v="1"/>
    <n v="80000"/>
    <n v="4"/>
    <s v="Partial College"/>
    <x v="2"/>
    <s v="Yes"/>
    <n v="2"/>
    <s v="10+ Miles"/>
    <x v="0"/>
    <n v="53"/>
    <s v="Middle Age"/>
    <s v="No"/>
    <n v="0"/>
    <x v="1"/>
    <x v="1"/>
    <s v="No"/>
  </r>
  <r>
    <n v="17978"/>
    <s v="Married"/>
    <x v="1"/>
    <n v="40000"/>
    <n v="0"/>
    <s v="Graduate Degree"/>
    <x v="1"/>
    <s v="Yes"/>
    <n v="0"/>
    <s v="0-1 Miles"/>
    <x v="0"/>
    <n v="37"/>
    <s v="Middle Age"/>
    <s v="Yes"/>
    <n v="0"/>
    <x v="0"/>
    <x v="0"/>
    <s v="Yes"/>
  </r>
  <r>
    <n v="12581"/>
    <s v="Single"/>
    <x v="0"/>
    <n v="10000"/>
    <n v="0"/>
    <s v="Partial College"/>
    <x v="3"/>
    <s v="No"/>
    <n v="1"/>
    <s v="0-1 Miles"/>
    <x v="1"/>
    <n v="28"/>
    <s v="Adolescent"/>
    <s v="Yes"/>
    <n v="0"/>
    <x v="3"/>
    <x v="2"/>
    <s v="Yes"/>
  </r>
  <r>
    <n v="18018"/>
    <s v="Single"/>
    <x v="1"/>
    <n v="30000"/>
    <n v="3"/>
    <s v="Partial College"/>
    <x v="1"/>
    <s v="Yes"/>
    <n v="0"/>
    <s v="0-1 Miles"/>
    <x v="0"/>
    <n v="43"/>
    <s v="Middle Age"/>
    <s v="No"/>
    <n v="0"/>
    <x v="0"/>
    <x v="0"/>
    <s v="No"/>
  </r>
  <r>
    <n v="28957"/>
    <s v="Single"/>
    <x v="0"/>
    <n v="120000"/>
    <n v="0"/>
    <s v="Partial High School"/>
    <x v="2"/>
    <s v="Yes"/>
    <n v="4"/>
    <s v="10+ Miles"/>
    <x v="1"/>
    <n v="34"/>
    <s v="Middle Age"/>
    <s v="Yes"/>
    <n v="0"/>
    <x v="0"/>
    <x v="1"/>
    <s v="Yes"/>
  </r>
  <r>
    <n v="13690"/>
    <s v="Single"/>
    <x v="0"/>
    <n v="20000"/>
    <n v="0"/>
    <s v="Partial High School"/>
    <x v="3"/>
    <s v="No"/>
    <n v="2"/>
    <s v="1-2 Miles"/>
    <x v="0"/>
    <n v="34"/>
    <s v="Middle Age"/>
    <s v="Yes"/>
    <n v="0"/>
    <x v="0"/>
    <x v="2"/>
    <s v="Yes"/>
  </r>
  <r>
    <n v="12568"/>
    <s v="Married"/>
    <x v="0"/>
    <n v="30000"/>
    <n v="1"/>
    <s v="Bachelors"/>
    <x v="1"/>
    <s v="Yes"/>
    <n v="0"/>
    <s v="0-1 Miles"/>
    <x v="0"/>
    <n v="64"/>
    <s v="Old"/>
    <s v="No"/>
    <n v="0"/>
    <x v="2"/>
    <x v="0"/>
    <s v="No"/>
  </r>
  <r>
    <n v="13122"/>
    <s v="Married"/>
    <x v="0"/>
    <n v="80000"/>
    <n v="0"/>
    <s v="Bachelors"/>
    <x v="2"/>
    <s v="Yes"/>
    <n v="1"/>
    <s v="1-2 Miles"/>
    <x v="1"/>
    <n v="41"/>
    <s v="Middle Age"/>
    <s v="Yes"/>
    <n v="0"/>
    <x v="0"/>
    <x v="1"/>
    <s v="Yes"/>
  </r>
  <r>
    <n v="21184"/>
    <s v="Single"/>
    <x v="1"/>
    <n v="70000"/>
    <n v="0"/>
    <s v="Bachelors"/>
    <x v="2"/>
    <s v="No"/>
    <n v="1"/>
    <s v="5-10 Miles"/>
    <x v="1"/>
    <n v="38"/>
    <s v="Middle Age"/>
    <s v="No"/>
    <n v="0"/>
    <x v="0"/>
    <x v="0"/>
    <s v="No"/>
  </r>
  <r>
    <n v="26150"/>
    <s v="Single"/>
    <x v="0"/>
    <n v="70000"/>
    <n v="0"/>
    <s v="Bachelors"/>
    <x v="2"/>
    <s v="No"/>
    <n v="1"/>
    <s v="0-1 Miles"/>
    <x v="1"/>
    <n v="41"/>
    <s v="Middle Age"/>
    <s v="Yes"/>
    <n v="0"/>
    <x v="0"/>
    <x v="0"/>
    <s v="Yes"/>
  </r>
  <r>
    <n v="24151"/>
    <s v="Single"/>
    <x v="1"/>
    <n v="20000"/>
    <n v="1"/>
    <s v="Bachelors"/>
    <x v="1"/>
    <s v="No"/>
    <n v="0"/>
    <s v="0-1 Miles"/>
    <x v="0"/>
    <n v="51"/>
    <s v="Middle Age"/>
    <s v="No"/>
    <n v="0"/>
    <x v="1"/>
    <x v="2"/>
    <s v="No"/>
  </r>
  <r>
    <n v="23962"/>
    <s v="Married"/>
    <x v="0"/>
    <n v="10000"/>
    <n v="0"/>
    <s v="Partial High School"/>
    <x v="3"/>
    <s v="Yes"/>
    <n v="2"/>
    <s v="1-2 Miles"/>
    <x v="0"/>
    <n v="32"/>
    <s v="Middle Age"/>
    <s v="No"/>
    <n v="0"/>
    <x v="0"/>
    <x v="2"/>
    <s v="No"/>
  </r>
  <r>
    <n v="17793"/>
    <s v="Married"/>
    <x v="0"/>
    <n v="40000"/>
    <n v="0"/>
    <s v="Bachelors"/>
    <x v="1"/>
    <s v="Yes"/>
    <n v="0"/>
    <s v="0-1 Miles"/>
    <x v="0"/>
    <n v="38"/>
    <s v="Middle Age"/>
    <s v="Yes"/>
    <n v="0"/>
    <x v="0"/>
    <x v="0"/>
    <s v="Yes"/>
  </r>
  <r>
    <n v="14926"/>
    <s v="Married"/>
    <x v="1"/>
    <n v="30000"/>
    <n v="1"/>
    <s v="Bachelors"/>
    <x v="1"/>
    <s v="Yes"/>
    <n v="0"/>
    <s v="0-1 Miles"/>
    <x v="0"/>
    <n v="38"/>
    <s v="Middle Age"/>
    <s v="Yes"/>
    <n v="0"/>
    <x v="0"/>
    <x v="0"/>
    <s v="Yes"/>
  </r>
  <r>
    <n v="16163"/>
    <s v="Single"/>
    <x v="1"/>
    <n v="60000"/>
    <n v="2"/>
    <s v="Bachelors"/>
    <x v="2"/>
    <s v="Yes"/>
    <n v="1"/>
    <s v="2-5 Miles"/>
    <x v="1"/>
    <n v="38"/>
    <s v="Middle Age"/>
    <s v="Yes"/>
    <n v="0"/>
    <x v="0"/>
    <x v="0"/>
    <s v="Yes"/>
  </r>
  <r>
    <n v="21365"/>
    <s v="Married"/>
    <x v="0"/>
    <n v="10000"/>
    <n v="2"/>
    <s v="Partial High School"/>
    <x v="1"/>
    <s v="Yes"/>
    <n v="2"/>
    <s v="5-10 Miles"/>
    <x v="1"/>
    <n v="58"/>
    <s v="Old"/>
    <s v="No"/>
    <n v="0"/>
    <x v="1"/>
    <x v="2"/>
    <s v="No"/>
  </r>
  <r>
    <n v="27771"/>
    <s v="Single"/>
    <x v="1"/>
    <n v="30000"/>
    <n v="1"/>
    <s v="Bachelors"/>
    <x v="1"/>
    <s v="Yes"/>
    <n v="1"/>
    <s v="1-2 Miles"/>
    <x v="0"/>
    <n v="39"/>
    <s v="Middle Age"/>
    <s v="Yes"/>
    <n v="0"/>
    <x v="0"/>
    <x v="0"/>
    <s v="Yes"/>
  </r>
  <r>
    <n v="26167"/>
    <s v="Single"/>
    <x v="0"/>
    <n v="40000"/>
    <n v="2"/>
    <s v="Bachelors"/>
    <x v="4"/>
    <s v="No"/>
    <n v="1"/>
    <s v="5-10 Miles"/>
    <x v="1"/>
    <n v="53"/>
    <s v="Middle Age"/>
    <s v="Yes"/>
    <n v="0"/>
    <x v="1"/>
    <x v="0"/>
    <s v="Yes"/>
  </r>
  <r>
    <n v="25792"/>
    <s v="Single"/>
    <x v="0"/>
    <n v="110000"/>
    <n v="3"/>
    <s v="Bachelors"/>
    <x v="4"/>
    <s v="Yes"/>
    <n v="4"/>
    <s v="10+ Miles"/>
    <x v="0"/>
    <n v="53"/>
    <s v="Middle Age"/>
    <s v="No"/>
    <n v="0"/>
    <x v="1"/>
    <x v="1"/>
    <s v="No"/>
  </r>
  <r>
    <n v="11555"/>
    <s v="Married"/>
    <x v="0"/>
    <n v="40000"/>
    <n v="1"/>
    <s v="Bachelors"/>
    <x v="1"/>
    <s v="Yes"/>
    <n v="0"/>
    <s v="0-1 Miles"/>
    <x v="0"/>
    <n v="80"/>
    <s v="Old"/>
    <s v="No"/>
    <n v="0"/>
    <x v="2"/>
    <x v="0"/>
    <s v="No"/>
  </r>
  <r>
    <n v="22381"/>
    <s v="Married"/>
    <x v="1"/>
    <n v="10000"/>
    <n v="1"/>
    <s v="Graduate Degree"/>
    <x v="3"/>
    <s v="Yes"/>
    <n v="0"/>
    <s v="0-1 Miles"/>
    <x v="0"/>
    <n v="44"/>
    <s v="Middle Age"/>
    <s v="No"/>
    <n v="0"/>
    <x v="0"/>
    <x v="2"/>
    <s v="No"/>
  </r>
  <r>
    <n v="17882"/>
    <s v="Married"/>
    <x v="1"/>
    <n v="20000"/>
    <n v="1"/>
    <s v="Graduate Degree"/>
    <x v="1"/>
    <s v="Yes"/>
    <n v="0"/>
    <s v="0-1 Miles"/>
    <x v="0"/>
    <n v="44"/>
    <s v="Middle Age"/>
    <s v="No"/>
    <n v="0"/>
    <x v="0"/>
    <x v="2"/>
    <s v="No"/>
  </r>
  <r>
    <n v="22174"/>
    <s v="Married"/>
    <x v="1"/>
    <n v="30000"/>
    <n v="3"/>
    <s v="High School"/>
    <x v="0"/>
    <s v="Yes"/>
    <n v="2"/>
    <s v="5-10 Miles"/>
    <x v="1"/>
    <n v="54"/>
    <s v="Middle Age"/>
    <s v="Yes"/>
    <n v="0"/>
    <x v="1"/>
    <x v="0"/>
    <s v="Yes"/>
  </r>
  <r>
    <n v="22439"/>
    <s v="Married"/>
    <x v="0"/>
    <n v="30000"/>
    <n v="0"/>
    <s v="Bachelors"/>
    <x v="1"/>
    <s v="Yes"/>
    <n v="0"/>
    <s v="0-1 Miles"/>
    <x v="0"/>
    <n v="37"/>
    <s v="Middle Age"/>
    <s v="Yes"/>
    <n v="0"/>
    <x v="0"/>
    <x v="0"/>
    <s v="Yes"/>
  </r>
  <r>
    <n v="18012"/>
    <s v="Married"/>
    <x v="0"/>
    <n v="40000"/>
    <n v="1"/>
    <s v="Bachelors"/>
    <x v="0"/>
    <s v="Yes"/>
    <n v="0"/>
    <s v="0-1 Miles"/>
    <x v="0"/>
    <n v="41"/>
    <s v="Middle Age"/>
    <s v="No"/>
    <n v="0"/>
    <x v="0"/>
    <x v="0"/>
    <s v="No"/>
  </r>
  <r>
    <n v="27582"/>
    <s v="Single"/>
    <x v="0"/>
    <n v="90000"/>
    <n v="2"/>
    <s v="Bachelors"/>
    <x v="2"/>
    <s v="No"/>
    <n v="0"/>
    <s v="0-1 Miles"/>
    <x v="1"/>
    <n v="36"/>
    <s v="Middle Age"/>
    <s v="Yes"/>
    <n v="0"/>
    <x v="0"/>
    <x v="1"/>
    <s v="Yes"/>
  </r>
  <r>
    <n v="12744"/>
    <s v="Single"/>
    <x v="0"/>
    <n v="40000"/>
    <n v="2"/>
    <s v="Partial College"/>
    <x v="1"/>
    <s v="Yes"/>
    <n v="0"/>
    <s v="0-1 Miles"/>
    <x v="0"/>
    <n v="33"/>
    <s v="Middle Age"/>
    <s v="No"/>
    <n v="0"/>
    <x v="0"/>
    <x v="0"/>
    <s v="No"/>
  </r>
  <r>
    <n v="22821"/>
    <s v="Married"/>
    <x v="0"/>
    <n v="130000"/>
    <n v="3"/>
    <s v="Partial College"/>
    <x v="2"/>
    <s v="Yes"/>
    <n v="4"/>
    <s v="0-1 Miles"/>
    <x v="0"/>
    <n v="52"/>
    <s v="Middle Age"/>
    <s v="No"/>
    <n v="0"/>
    <x v="1"/>
    <x v="1"/>
    <s v="No"/>
  </r>
  <r>
    <n v="20171"/>
    <s v="Married"/>
    <x v="0"/>
    <n v="20000"/>
    <n v="2"/>
    <s v="Partial College"/>
    <x v="3"/>
    <s v="Yes"/>
    <n v="1"/>
    <s v="0-1 Miles"/>
    <x v="0"/>
    <n v="46"/>
    <s v="Middle Age"/>
    <s v="Yes"/>
    <n v="0"/>
    <x v="1"/>
    <x v="2"/>
    <s v="Yes"/>
  </r>
  <r>
    <n v="11116"/>
    <s v="Married"/>
    <x v="1"/>
    <n v="70000"/>
    <n v="5"/>
    <s v="Partial College"/>
    <x v="0"/>
    <s v="Yes"/>
    <n v="2"/>
    <s v="5-10 Miles"/>
    <x v="1"/>
    <n v="43"/>
    <s v="Middle Age"/>
    <s v="No"/>
    <n v="0"/>
    <x v="0"/>
    <x v="0"/>
    <s v="No"/>
  </r>
  <r>
    <n v="20053"/>
    <s v="Single"/>
    <x v="1"/>
    <n v="40000"/>
    <n v="2"/>
    <s v="Partial College"/>
    <x v="1"/>
    <s v="Yes"/>
    <n v="0"/>
    <s v="0-1 Miles"/>
    <x v="0"/>
    <n v="34"/>
    <s v="Middle Age"/>
    <s v="No"/>
    <n v="0"/>
    <x v="0"/>
    <x v="0"/>
    <s v="No"/>
  </r>
  <r>
    <n v="25266"/>
    <s v="Single"/>
    <x v="0"/>
    <n v="30000"/>
    <n v="2"/>
    <s v="Partial College"/>
    <x v="1"/>
    <s v="No"/>
    <n v="2"/>
    <s v="5-10 Miles"/>
    <x v="1"/>
    <n v="67"/>
    <s v="Old"/>
    <s v="No"/>
    <n v="0"/>
    <x v="2"/>
    <x v="0"/>
    <s v="No"/>
  </r>
  <r>
    <n v="17960"/>
    <s v="Married"/>
    <x v="0"/>
    <n v="40000"/>
    <n v="0"/>
    <s v="Graduate Degree"/>
    <x v="1"/>
    <s v="Yes"/>
    <n v="0"/>
    <s v="0-1 Miles"/>
    <x v="0"/>
    <n v="35"/>
    <s v="Middle Age"/>
    <s v="Yes"/>
    <n v="0"/>
    <x v="0"/>
    <x v="0"/>
    <s v="Yes"/>
  </r>
  <r>
    <n v="13961"/>
    <s v="Married"/>
    <x v="0"/>
    <n v="80000"/>
    <n v="5"/>
    <s v="Graduate Degree"/>
    <x v="4"/>
    <s v="Yes"/>
    <n v="3"/>
    <s v="0-1 Miles"/>
    <x v="1"/>
    <n v="40"/>
    <s v="Middle Age"/>
    <s v="No"/>
    <n v="0"/>
    <x v="0"/>
    <x v="1"/>
    <s v="No"/>
  </r>
  <r>
    <n v="11897"/>
    <s v="Single"/>
    <x v="1"/>
    <n v="60000"/>
    <n v="2"/>
    <s v="Bachelors"/>
    <x v="2"/>
    <s v="No"/>
    <n v="1"/>
    <s v="0-1 Miles"/>
    <x v="1"/>
    <n v="37"/>
    <s v="Middle Age"/>
    <s v="Yes"/>
    <n v="0"/>
    <x v="0"/>
    <x v="0"/>
    <s v="Yes"/>
  </r>
  <r>
    <n v="11139"/>
    <s v="Single"/>
    <x v="0"/>
    <n v="30000"/>
    <n v="2"/>
    <s v="Partial College"/>
    <x v="1"/>
    <s v="No"/>
    <n v="2"/>
    <s v="5-10 Miles"/>
    <x v="1"/>
    <n v="67"/>
    <s v="Old"/>
    <s v="No"/>
    <n v="0"/>
    <x v="2"/>
    <x v="0"/>
    <s v="No"/>
  </r>
  <r>
    <n v="11576"/>
    <s v="Married"/>
    <x v="1"/>
    <n v="30000"/>
    <n v="1"/>
    <s v="Bachelors"/>
    <x v="0"/>
    <s v="Yes"/>
    <n v="2"/>
    <s v="0-1 Miles"/>
    <x v="0"/>
    <n v="41"/>
    <s v="Middle Age"/>
    <s v="Yes"/>
    <n v="0"/>
    <x v="0"/>
    <x v="0"/>
    <s v="Yes"/>
  </r>
  <r>
    <n v="19255"/>
    <s v="Single"/>
    <x v="1"/>
    <n v="10000"/>
    <n v="2"/>
    <s v="Partial College"/>
    <x v="3"/>
    <s v="Yes"/>
    <n v="1"/>
    <s v="0-1 Miles"/>
    <x v="0"/>
    <n v="51"/>
    <s v="Middle Age"/>
    <s v="Yes"/>
    <n v="0"/>
    <x v="1"/>
    <x v="2"/>
    <s v="Yes"/>
  </r>
  <r>
    <n v="18153"/>
    <s v="Married"/>
    <x v="0"/>
    <n v="100000"/>
    <n v="2"/>
    <s v="Bachelors"/>
    <x v="4"/>
    <s v="Yes"/>
    <n v="4"/>
    <s v="10+ Miles"/>
    <x v="0"/>
    <n v="59"/>
    <s v="Old"/>
    <s v="No"/>
    <n v="0"/>
    <x v="1"/>
    <x v="1"/>
    <s v="No"/>
  </r>
  <r>
    <n v="14547"/>
    <s v="Married"/>
    <x v="1"/>
    <n v="10000"/>
    <n v="2"/>
    <s v="Partial College"/>
    <x v="3"/>
    <s v="Yes"/>
    <n v="0"/>
    <s v="1-2 Miles"/>
    <x v="0"/>
    <n v="51"/>
    <s v="Middle Age"/>
    <s v="No"/>
    <n v="0"/>
    <x v="1"/>
    <x v="2"/>
    <s v="No"/>
  </r>
  <r>
    <n v="24901"/>
    <s v="Single"/>
    <x v="1"/>
    <n v="110000"/>
    <n v="0"/>
    <s v="Partial College"/>
    <x v="4"/>
    <s v="No"/>
    <n v="3"/>
    <s v="10+ Miles"/>
    <x v="1"/>
    <n v="32"/>
    <s v="Middle Age"/>
    <s v="Yes"/>
    <n v="0"/>
    <x v="0"/>
    <x v="1"/>
    <s v="Yes"/>
  </r>
  <r>
    <n v="27169"/>
    <s v="Single"/>
    <x v="1"/>
    <n v="30000"/>
    <n v="0"/>
    <s v="High School"/>
    <x v="3"/>
    <s v="Yes"/>
    <n v="1"/>
    <s v="2-5 Miles"/>
    <x v="0"/>
    <n v="34"/>
    <s v="Middle Age"/>
    <s v="Yes"/>
    <n v="0"/>
    <x v="0"/>
    <x v="0"/>
    <s v="Yes"/>
  </r>
  <r>
    <n v="14805"/>
    <s v="Single"/>
    <x v="0"/>
    <n v="10000"/>
    <n v="3"/>
    <s v="Partial High School"/>
    <x v="3"/>
    <s v="Yes"/>
    <n v="2"/>
    <s v="0-1 Miles"/>
    <x v="0"/>
    <n v="43"/>
    <s v="Middle Age"/>
    <s v="No"/>
    <n v="0"/>
    <x v="0"/>
    <x v="2"/>
    <s v="No"/>
  </r>
  <r>
    <n v="15822"/>
    <s v="Married"/>
    <x v="1"/>
    <n v="40000"/>
    <n v="2"/>
    <s v="Bachelors"/>
    <x v="4"/>
    <s v="Yes"/>
    <n v="2"/>
    <s v="0-1 Miles"/>
    <x v="1"/>
    <n v="67"/>
    <s v="Old"/>
    <s v="No"/>
    <n v="0"/>
    <x v="2"/>
    <x v="0"/>
    <s v="No"/>
  </r>
  <r>
    <n v="19389"/>
    <s v="Single"/>
    <x v="1"/>
    <n v="30000"/>
    <n v="0"/>
    <s v="Partial College"/>
    <x v="1"/>
    <s v="No"/>
    <n v="1"/>
    <s v="2-5 Miles"/>
    <x v="0"/>
    <n v="28"/>
    <s v="Adolescent"/>
    <s v="No"/>
    <n v="0"/>
    <x v="3"/>
    <x v="0"/>
    <s v="No"/>
  </r>
  <r>
    <n v="17048"/>
    <s v="Single"/>
    <x v="0"/>
    <n v="90000"/>
    <n v="1"/>
    <s v="Graduate Degree"/>
    <x v="4"/>
    <s v="Yes"/>
    <n v="0"/>
    <s v="0-1 Miles"/>
    <x v="1"/>
    <n v="36"/>
    <s v="Middle Age"/>
    <s v="Yes"/>
    <n v="0"/>
    <x v="0"/>
    <x v="1"/>
    <s v="Yes"/>
  </r>
  <r>
    <n v="22204"/>
    <s v="Married"/>
    <x v="1"/>
    <n v="110000"/>
    <n v="4"/>
    <s v="Bachelors"/>
    <x v="4"/>
    <s v="Yes"/>
    <n v="3"/>
    <s v="2-5 Miles"/>
    <x v="1"/>
    <n v="48"/>
    <s v="Middle Age"/>
    <s v="No"/>
    <n v="0"/>
    <x v="1"/>
    <x v="1"/>
    <s v="No"/>
  </r>
  <r>
    <n v="12718"/>
    <s v="Single"/>
    <x v="0"/>
    <n v="30000"/>
    <n v="0"/>
    <s v="Partial College"/>
    <x v="1"/>
    <s v="Yes"/>
    <n v="1"/>
    <s v="2-5 Miles"/>
    <x v="0"/>
    <n v="31"/>
    <s v="Middle Age"/>
    <s v="No"/>
    <n v="0"/>
    <x v="0"/>
    <x v="0"/>
    <s v="No"/>
  </r>
  <r>
    <n v="15019"/>
    <s v="Single"/>
    <x v="0"/>
    <n v="30000"/>
    <n v="3"/>
    <s v="High School"/>
    <x v="0"/>
    <s v="Yes"/>
    <n v="2"/>
    <s v="5-10 Miles"/>
    <x v="1"/>
    <n v="55"/>
    <s v="Old"/>
    <s v="No"/>
    <n v="0"/>
    <x v="1"/>
    <x v="0"/>
    <s v="No"/>
  </r>
  <r>
    <n v="28488"/>
    <s v="Single"/>
    <x v="1"/>
    <n v="20000"/>
    <n v="0"/>
    <s v="Partial College"/>
    <x v="3"/>
    <s v="Yes"/>
    <n v="0"/>
    <s v="0-1 Miles"/>
    <x v="1"/>
    <n v="28"/>
    <s v="Adolescent"/>
    <s v="Yes"/>
    <n v="0"/>
    <x v="3"/>
    <x v="2"/>
    <s v="Yes"/>
  </r>
  <r>
    <n v="21891"/>
    <s v="Married"/>
    <x v="0"/>
    <n v="110000"/>
    <n v="0"/>
    <s v="High School"/>
    <x v="4"/>
    <s v="Yes"/>
    <n v="3"/>
    <s v="10+ Miles"/>
    <x v="1"/>
    <n v="34"/>
    <s v="Middle Age"/>
    <s v="Yes"/>
    <n v="0"/>
    <x v="0"/>
    <x v="1"/>
    <s v="Yes"/>
  </r>
  <r>
    <n v="27814"/>
    <s v="Single"/>
    <x v="0"/>
    <n v="30000"/>
    <n v="3"/>
    <s v="Partial College"/>
    <x v="1"/>
    <s v="No"/>
    <n v="1"/>
    <s v="0-1 Miles"/>
    <x v="0"/>
    <n v="26"/>
    <s v="Adolescent"/>
    <s v="No"/>
    <n v="0"/>
    <x v="3"/>
    <x v="0"/>
    <s v="No"/>
  </r>
  <r>
    <n v="22175"/>
    <s v="Married"/>
    <x v="0"/>
    <n v="30000"/>
    <n v="3"/>
    <s v="High School"/>
    <x v="0"/>
    <s v="Yes"/>
    <n v="2"/>
    <s v="5-10 Miles"/>
    <x v="1"/>
    <n v="53"/>
    <s v="Middle Age"/>
    <s v="Yes"/>
    <n v="0"/>
    <x v="1"/>
    <x v="0"/>
    <s v="Yes"/>
  </r>
  <r>
    <n v="29447"/>
    <s v="Single"/>
    <x v="0"/>
    <n v="10000"/>
    <n v="2"/>
    <s v="Bachelors"/>
    <x v="1"/>
    <s v="No"/>
    <n v="1"/>
    <s v="2-5 Miles"/>
    <x v="0"/>
    <n v="68"/>
    <s v="Old"/>
    <s v="No"/>
    <n v="0"/>
    <x v="2"/>
    <x v="2"/>
    <s v="No"/>
  </r>
  <r>
    <n v="19784"/>
    <s v="Married"/>
    <x v="0"/>
    <n v="80000"/>
    <n v="2"/>
    <s v="High School"/>
    <x v="0"/>
    <s v="Yes"/>
    <n v="2"/>
    <s v="5-10 Miles"/>
    <x v="1"/>
    <n v="50"/>
    <s v="Middle Age"/>
    <s v="Yes"/>
    <n v="0"/>
    <x v="1"/>
    <x v="1"/>
    <s v="Yes"/>
  </r>
  <r>
    <n v="27824"/>
    <s v="Single"/>
    <x v="0"/>
    <n v="30000"/>
    <n v="3"/>
    <s v="Partial College"/>
    <x v="1"/>
    <s v="Yes"/>
    <n v="2"/>
    <s v="0-1 Miles"/>
    <x v="0"/>
    <n v="28"/>
    <s v="Adolescent"/>
    <s v="Yes"/>
    <n v="0"/>
    <x v="3"/>
    <x v="0"/>
    <s v="Yes"/>
  </r>
  <r>
    <n v="24093"/>
    <s v="Single"/>
    <x v="0"/>
    <n v="80000"/>
    <n v="0"/>
    <s v="Graduate Degree"/>
    <x v="0"/>
    <s v="No"/>
    <n v="0"/>
    <s v="0-1 Miles"/>
    <x v="0"/>
    <n v="40"/>
    <s v="Middle Age"/>
    <s v="Yes"/>
    <n v="0"/>
    <x v="0"/>
    <x v="1"/>
    <s v="Yes"/>
  </r>
  <r>
    <n v="19618"/>
    <s v="Married"/>
    <x v="1"/>
    <n v="70000"/>
    <n v="5"/>
    <s v="Partial College"/>
    <x v="0"/>
    <s v="Yes"/>
    <n v="2"/>
    <s v="0-1 Miles"/>
    <x v="1"/>
    <n v="44"/>
    <s v="Middle Age"/>
    <s v="No"/>
    <n v="0"/>
    <x v="0"/>
    <x v="0"/>
    <s v="No"/>
  </r>
  <r>
    <n v="21561"/>
    <s v="Single"/>
    <x v="1"/>
    <n v="90000"/>
    <n v="0"/>
    <s v="Bachelors"/>
    <x v="2"/>
    <s v="No"/>
    <n v="3"/>
    <s v="10+ Miles"/>
    <x v="1"/>
    <n v="34"/>
    <s v="Middle Age"/>
    <s v="Yes"/>
    <n v="0"/>
    <x v="0"/>
    <x v="1"/>
    <s v="Yes"/>
  </r>
  <r>
    <n v="11061"/>
    <s v="Married"/>
    <x v="1"/>
    <n v="70000"/>
    <n v="2"/>
    <s v="Partial College"/>
    <x v="0"/>
    <s v="Yes"/>
    <n v="2"/>
    <s v="5-10 Miles"/>
    <x v="1"/>
    <n v="52"/>
    <s v="Middle Age"/>
    <s v="Yes"/>
    <n v="0"/>
    <x v="1"/>
    <x v="0"/>
    <s v="Yes"/>
  </r>
  <r>
    <n v="26651"/>
    <s v="Single"/>
    <x v="1"/>
    <n v="80000"/>
    <n v="4"/>
    <s v="Graduate Degree"/>
    <x v="4"/>
    <s v="Yes"/>
    <n v="0"/>
    <s v="0-1 Miles"/>
    <x v="1"/>
    <n v="36"/>
    <s v="Middle Age"/>
    <s v="Yes"/>
    <n v="0"/>
    <x v="0"/>
    <x v="1"/>
    <s v="Yes"/>
  </r>
  <r>
    <n v="21108"/>
    <s v="Married"/>
    <x v="0"/>
    <n v="40000"/>
    <n v="1"/>
    <s v="Bachelors"/>
    <x v="0"/>
    <s v="Yes"/>
    <n v="1"/>
    <s v="0-1 Miles"/>
    <x v="0"/>
    <n v="43"/>
    <s v="Middle Age"/>
    <s v="Yes"/>
    <n v="0"/>
    <x v="0"/>
    <x v="0"/>
    <s v="Yes"/>
  </r>
  <r>
    <n v="12731"/>
    <s v="Single"/>
    <x v="1"/>
    <n v="30000"/>
    <n v="0"/>
    <s v="High School"/>
    <x v="3"/>
    <s v="No"/>
    <n v="1"/>
    <s v="1-2 Miles"/>
    <x v="0"/>
    <n v="32"/>
    <s v="Middle Age"/>
    <s v="No"/>
    <n v="0"/>
    <x v="0"/>
    <x v="0"/>
    <s v="No"/>
  </r>
  <r>
    <n v="25307"/>
    <s v="Married"/>
    <x v="0"/>
    <n v="40000"/>
    <n v="1"/>
    <s v="Bachelors"/>
    <x v="0"/>
    <s v="Yes"/>
    <n v="1"/>
    <s v="1-2 Miles"/>
    <x v="0"/>
    <n v="32"/>
    <s v="Middle Age"/>
    <s v="Yes"/>
    <n v="0"/>
    <x v="0"/>
    <x v="0"/>
    <s v="Yes"/>
  </r>
  <r>
    <n v="14278"/>
    <s v="Married"/>
    <x v="0"/>
    <n v="130000"/>
    <n v="0"/>
    <s v="Graduate Degree"/>
    <x v="4"/>
    <s v="Yes"/>
    <n v="1"/>
    <s v="10+ Miles"/>
    <x v="1"/>
    <n v="48"/>
    <s v="Middle Age"/>
    <s v="No"/>
    <n v="0"/>
    <x v="1"/>
    <x v="1"/>
    <s v="No"/>
  </r>
  <r>
    <n v="20711"/>
    <s v="Married"/>
    <x v="0"/>
    <n v="40000"/>
    <n v="1"/>
    <s v="Bachelors"/>
    <x v="0"/>
    <s v="Yes"/>
    <n v="0"/>
    <s v="1-2 Miles"/>
    <x v="0"/>
    <n v="32"/>
    <s v="Middle Age"/>
    <s v="Yes"/>
    <n v="0"/>
    <x v="0"/>
    <x v="0"/>
    <s v="Yes"/>
  </r>
  <r>
    <n v="11383"/>
    <s v="Married"/>
    <x v="0"/>
    <n v="30000"/>
    <n v="3"/>
    <s v="Graduate Degree"/>
    <x v="1"/>
    <s v="Yes"/>
    <n v="0"/>
    <s v="0-1 Miles"/>
    <x v="0"/>
    <n v="46"/>
    <s v="Middle Age"/>
    <s v="No"/>
    <n v="0"/>
    <x v="1"/>
    <x v="0"/>
    <s v="No"/>
  </r>
  <r>
    <n v="12497"/>
    <s v="Married"/>
    <x v="0"/>
    <n v="40000"/>
    <n v="1"/>
    <s v="Bachelors"/>
    <x v="0"/>
    <s v="Yes"/>
    <n v="0"/>
    <s v="0-1 Miles"/>
    <x v="0"/>
    <n v="42"/>
    <s v="Middle Age"/>
    <s v="No"/>
    <n v="0"/>
    <x v="0"/>
    <x v="0"/>
    <s v="No"/>
  </r>
  <r>
    <n v="16559"/>
    <s v="Single"/>
    <x v="0"/>
    <n v="10000"/>
    <n v="2"/>
    <s v="High School"/>
    <x v="3"/>
    <s v="Yes"/>
    <n v="0"/>
    <s v="0-1 Miles"/>
    <x v="0"/>
    <n v="36"/>
    <s v="Middle Age"/>
    <s v="Yes"/>
    <n v="0"/>
    <x v="0"/>
    <x v="2"/>
    <s v="Yes"/>
  </r>
  <r>
    <n v="11585"/>
    <s v="Married"/>
    <x v="0"/>
    <n v="40000"/>
    <n v="1"/>
    <s v="Bachelors"/>
    <x v="0"/>
    <s v="Yes"/>
    <n v="0"/>
    <s v="0-1 Miles"/>
    <x v="0"/>
    <n v="41"/>
    <s v="Middle Age"/>
    <s v="No"/>
    <n v="0"/>
    <x v="0"/>
    <x v="0"/>
    <s v="No"/>
  </r>
  <r>
    <n v="20277"/>
    <s v="Married"/>
    <x v="0"/>
    <n v="30000"/>
    <n v="2"/>
    <s v="Partial College"/>
    <x v="1"/>
    <s v="No"/>
    <n v="2"/>
    <s v="0-1 Miles"/>
    <x v="1"/>
    <n v="69"/>
    <s v="Old"/>
    <s v="No"/>
    <n v="0"/>
    <x v="2"/>
    <x v="0"/>
    <s v="No"/>
  </r>
  <r>
    <n v="26765"/>
    <s v="Single"/>
    <x v="0"/>
    <n v="70000"/>
    <n v="5"/>
    <s v="Partial College"/>
    <x v="0"/>
    <s v="Yes"/>
    <n v="2"/>
    <s v="5-10 Miles"/>
    <x v="1"/>
    <n v="45"/>
    <s v="Middle Age"/>
    <s v="No"/>
    <n v="0"/>
    <x v="0"/>
    <x v="0"/>
    <s v="No"/>
  </r>
  <r>
    <n v="12389"/>
    <s v="Single"/>
    <x v="1"/>
    <n v="30000"/>
    <n v="0"/>
    <s v="High School"/>
    <x v="3"/>
    <s v="No"/>
    <n v="1"/>
    <s v="2-5 Miles"/>
    <x v="0"/>
    <n v="34"/>
    <s v="Middle Age"/>
    <s v="No"/>
    <n v="0"/>
    <x v="0"/>
    <x v="0"/>
    <s v="No"/>
  </r>
  <r>
    <n v="13585"/>
    <s v="Married"/>
    <x v="0"/>
    <n v="80000"/>
    <n v="4"/>
    <s v="Partial College"/>
    <x v="2"/>
    <s v="No"/>
    <n v="1"/>
    <s v="2-5 Miles"/>
    <x v="0"/>
    <n v="53"/>
    <s v="Middle Age"/>
    <s v="Yes"/>
    <n v="0"/>
    <x v="1"/>
    <x v="1"/>
    <s v="Yes"/>
  </r>
  <r>
    <n v="26385"/>
    <s v="Single"/>
    <x v="1"/>
    <n v="120000"/>
    <n v="3"/>
    <s v="High School"/>
    <x v="2"/>
    <s v="No"/>
    <n v="4"/>
    <s v="5-10 Miles"/>
    <x v="0"/>
    <n v="50"/>
    <s v="Middle Age"/>
    <s v="No"/>
    <n v="0"/>
    <x v="1"/>
    <x v="1"/>
    <s v="No"/>
  </r>
  <r>
    <n v="12236"/>
    <s v="Married"/>
    <x v="0"/>
    <n v="20000"/>
    <n v="1"/>
    <s v="Partial College"/>
    <x v="3"/>
    <s v="Yes"/>
    <n v="0"/>
    <s v="0-1 Miles"/>
    <x v="0"/>
    <n v="65"/>
    <s v="Old"/>
    <s v="No"/>
    <n v="0"/>
    <x v="2"/>
    <x v="2"/>
    <s v="No"/>
  </r>
  <r>
    <n v="21560"/>
    <s v="Married"/>
    <x v="1"/>
    <n v="120000"/>
    <n v="0"/>
    <s v="Partial High School"/>
    <x v="2"/>
    <s v="Yes"/>
    <n v="4"/>
    <s v="10+ Miles"/>
    <x v="1"/>
    <n v="32"/>
    <s v="Middle Age"/>
    <s v="Yes"/>
    <n v="0"/>
    <x v="0"/>
    <x v="1"/>
    <s v="Yes"/>
  </r>
  <r>
    <n v="21554"/>
    <s v="Single"/>
    <x v="0"/>
    <n v="80000"/>
    <n v="0"/>
    <s v="Bachelors"/>
    <x v="2"/>
    <s v="No"/>
    <n v="3"/>
    <s v="10+ Miles"/>
    <x v="1"/>
    <n v="33"/>
    <s v="Middle Age"/>
    <s v="No"/>
    <n v="0"/>
    <x v="0"/>
    <x v="1"/>
    <s v="No"/>
  </r>
  <r>
    <n v="13662"/>
    <s v="Single"/>
    <x v="1"/>
    <n v="20000"/>
    <n v="0"/>
    <s v="Partial High School"/>
    <x v="3"/>
    <s v="Yes"/>
    <n v="2"/>
    <s v="1-2 Miles"/>
    <x v="0"/>
    <n v="31"/>
    <s v="Middle Age"/>
    <s v="Yes"/>
    <n v="0"/>
    <x v="0"/>
    <x v="2"/>
    <s v="Yes"/>
  </r>
  <r>
    <n v="13089"/>
    <s v="Married"/>
    <x v="0"/>
    <n v="120000"/>
    <n v="1"/>
    <s v="Bachelors"/>
    <x v="4"/>
    <s v="Yes"/>
    <n v="2"/>
    <s v="0-1 Miles"/>
    <x v="1"/>
    <n v="46"/>
    <s v="Middle Age"/>
    <s v="Yes"/>
    <n v="0"/>
    <x v="1"/>
    <x v="1"/>
    <s v="Yes"/>
  </r>
  <r>
    <n v="14791"/>
    <s v="Married"/>
    <x v="0"/>
    <n v="40000"/>
    <n v="0"/>
    <s v="Bachelors"/>
    <x v="1"/>
    <s v="Yes"/>
    <n v="0"/>
    <s v="0-1 Miles"/>
    <x v="0"/>
    <n v="39"/>
    <s v="Middle Age"/>
    <s v="Yes"/>
    <n v="0"/>
    <x v="0"/>
    <x v="0"/>
    <s v="Yes"/>
  </r>
  <r>
    <n v="19331"/>
    <s v="Single"/>
    <x v="1"/>
    <n v="20000"/>
    <n v="2"/>
    <s v="High School"/>
    <x v="3"/>
    <s v="Yes"/>
    <n v="1"/>
    <s v="0-1 Miles"/>
    <x v="0"/>
    <n v="40"/>
    <s v="Middle Age"/>
    <s v="No"/>
    <n v="0"/>
    <x v="0"/>
    <x v="2"/>
    <s v="No"/>
  </r>
  <r>
    <n v="17754"/>
    <s v="Single"/>
    <x v="0"/>
    <n v="30000"/>
    <n v="3"/>
    <s v="Bachelors"/>
    <x v="1"/>
    <s v="Yes"/>
    <n v="0"/>
    <s v="0-1 Miles"/>
    <x v="0"/>
    <n v="46"/>
    <s v="Middle Age"/>
    <s v="Yes"/>
    <n v="0"/>
    <x v="1"/>
    <x v="0"/>
    <s v="Yes"/>
  </r>
  <r>
    <n v="11149"/>
    <s v="Married"/>
    <x v="1"/>
    <n v="40000"/>
    <n v="2"/>
    <s v="Bachelors"/>
    <x v="4"/>
    <s v="Yes"/>
    <n v="2"/>
    <s v="0-1 Miles"/>
    <x v="1"/>
    <n v="65"/>
    <s v="Old"/>
    <s v="No"/>
    <n v="0"/>
    <x v="2"/>
    <x v="0"/>
    <s v="No"/>
  </r>
  <r>
    <n v="16549"/>
    <s v="Single"/>
    <x v="0"/>
    <n v="30000"/>
    <n v="3"/>
    <s v="Bachelors"/>
    <x v="1"/>
    <s v="Yes"/>
    <n v="0"/>
    <s v="0-1 Miles"/>
    <x v="0"/>
    <n v="47"/>
    <s v="Middle Age"/>
    <s v="Yes"/>
    <n v="0"/>
    <x v="1"/>
    <x v="0"/>
    <s v="Yes"/>
  </r>
  <r>
    <n v="24305"/>
    <s v="Single"/>
    <x v="1"/>
    <n v="100000"/>
    <n v="1"/>
    <s v="Bachelors"/>
    <x v="4"/>
    <s v="No"/>
    <n v="3"/>
    <s v="0-1 Miles"/>
    <x v="1"/>
    <n v="46"/>
    <s v="Middle Age"/>
    <s v="Yes"/>
    <n v="0"/>
    <x v="1"/>
    <x v="1"/>
    <s v="Yes"/>
  </r>
  <r>
    <n v="18253"/>
    <s v="Married"/>
    <x v="0"/>
    <n v="80000"/>
    <n v="5"/>
    <s v="Graduate Degree"/>
    <x v="4"/>
    <s v="Yes"/>
    <n v="3"/>
    <s v="0-1 Miles"/>
    <x v="1"/>
    <n v="40"/>
    <s v="Middle Age"/>
    <s v="No"/>
    <n v="0"/>
    <x v="0"/>
    <x v="1"/>
    <s v="No"/>
  </r>
  <r>
    <n v="20147"/>
    <s v="Married"/>
    <x v="0"/>
    <n v="30000"/>
    <n v="1"/>
    <s v="Bachelors"/>
    <x v="1"/>
    <s v="Yes"/>
    <n v="0"/>
    <s v="0-1 Miles"/>
    <x v="0"/>
    <n v="65"/>
    <s v="Old"/>
    <s v="No"/>
    <n v="0"/>
    <x v="2"/>
    <x v="0"/>
    <s v="No"/>
  </r>
  <r>
    <n v="15612"/>
    <s v="Single"/>
    <x v="1"/>
    <n v="30000"/>
    <n v="0"/>
    <s v="High School"/>
    <x v="3"/>
    <s v="No"/>
    <n v="1"/>
    <s v="1-2 Miles"/>
    <x v="0"/>
    <n v="28"/>
    <s v="Adolescent"/>
    <s v="No"/>
    <n v="0"/>
    <x v="3"/>
    <x v="0"/>
    <s v="No"/>
  </r>
  <r>
    <n v="28323"/>
    <s v="Single"/>
    <x v="1"/>
    <n v="70000"/>
    <n v="0"/>
    <s v="Bachelors"/>
    <x v="2"/>
    <s v="No"/>
    <n v="2"/>
    <s v="5-10 Miles"/>
    <x v="1"/>
    <n v="43"/>
    <s v="Middle Age"/>
    <s v="Yes"/>
    <n v="0"/>
    <x v="0"/>
    <x v="0"/>
    <s v="Yes"/>
  </r>
  <r>
    <n v="22634"/>
    <s v="Single"/>
    <x v="0"/>
    <n v="40000"/>
    <n v="0"/>
    <s v="Graduate Degree"/>
    <x v="1"/>
    <s v="Yes"/>
    <n v="0"/>
    <s v="0-1 Miles"/>
    <x v="0"/>
    <n v="38"/>
    <s v="Middle Age"/>
    <s v="Yes"/>
    <n v="0"/>
    <x v="0"/>
    <x v="0"/>
    <s v="Yes"/>
  </r>
  <r>
    <n v="15665"/>
    <s v="Married"/>
    <x v="0"/>
    <n v="30000"/>
    <n v="0"/>
    <s v="Bachelors"/>
    <x v="1"/>
    <s v="Yes"/>
    <n v="0"/>
    <s v="0-1 Miles"/>
    <x v="0"/>
    <n v="47"/>
    <s v="Middle Age"/>
    <s v="Yes"/>
    <n v="0"/>
    <x v="1"/>
    <x v="0"/>
    <s v="Yes"/>
  </r>
  <r>
    <n v="27585"/>
    <s v="Married"/>
    <x v="0"/>
    <n v="90000"/>
    <n v="2"/>
    <s v="Bachelors"/>
    <x v="2"/>
    <s v="No"/>
    <n v="0"/>
    <s v="0-1 Miles"/>
    <x v="1"/>
    <n v="36"/>
    <s v="Middle Age"/>
    <s v="Yes"/>
    <n v="0"/>
    <x v="0"/>
    <x v="1"/>
    <s v="Yes"/>
  </r>
  <r>
    <n v="19748"/>
    <s v="Married"/>
    <x v="1"/>
    <n v="20000"/>
    <n v="4"/>
    <s v="High School"/>
    <x v="0"/>
    <s v="No"/>
    <n v="2"/>
    <s v="1-2 Miles"/>
    <x v="1"/>
    <n v="60"/>
    <s v="Old"/>
    <s v="No"/>
    <n v="0"/>
    <x v="1"/>
    <x v="2"/>
    <s v="No"/>
  </r>
  <r>
    <n v="21974"/>
    <s v="Single"/>
    <x v="0"/>
    <n v="70000"/>
    <n v="0"/>
    <s v="Bachelors"/>
    <x v="2"/>
    <s v="Yes"/>
    <n v="1"/>
    <s v="5-10 Miles"/>
    <x v="1"/>
    <n v="42"/>
    <s v="Middle Age"/>
    <s v="Yes"/>
    <n v="0"/>
    <x v="0"/>
    <x v="0"/>
    <s v="Yes"/>
  </r>
  <r>
    <n v="14032"/>
    <s v="Married"/>
    <x v="1"/>
    <n v="70000"/>
    <n v="2"/>
    <s v="High School"/>
    <x v="0"/>
    <s v="No"/>
    <n v="2"/>
    <s v="1-2 Miles"/>
    <x v="1"/>
    <n v="50"/>
    <s v="Middle Age"/>
    <s v="Yes"/>
    <n v="0"/>
    <x v="1"/>
    <x v="0"/>
    <s v="Yes"/>
  </r>
  <r>
    <n v="22610"/>
    <s v="Married"/>
    <x v="1"/>
    <n v="30000"/>
    <n v="0"/>
    <s v="Bachelors"/>
    <x v="1"/>
    <s v="Yes"/>
    <n v="0"/>
    <s v="0-1 Miles"/>
    <x v="0"/>
    <n v="35"/>
    <s v="Middle Age"/>
    <s v="Yes"/>
    <n v="0"/>
    <x v="0"/>
    <x v="0"/>
    <s v="Yes"/>
  </r>
  <r>
    <n v="26984"/>
    <s v="Married"/>
    <x v="1"/>
    <n v="40000"/>
    <n v="1"/>
    <s v="Bachelors"/>
    <x v="0"/>
    <s v="Yes"/>
    <n v="1"/>
    <s v="0-1 Miles"/>
    <x v="0"/>
    <n v="32"/>
    <s v="Middle Age"/>
    <s v="Yes"/>
    <n v="0"/>
    <x v="0"/>
    <x v="0"/>
    <s v="Yes"/>
  </r>
  <r>
    <n v="18294"/>
    <s v="Married"/>
    <x v="0"/>
    <n v="90000"/>
    <n v="1"/>
    <s v="Bachelors"/>
    <x v="2"/>
    <s v="Yes"/>
    <n v="1"/>
    <s v="5-10 Miles"/>
    <x v="1"/>
    <n v="46"/>
    <s v="Middle Age"/>
    <s v="No"/>
    <n v="0"/>
    <x v="1"/>
    <x v="1"/>
    <s v="No"/>
  </r>
  <r>
    <n v="28564"/>
    <s v="Single"/>
    <x v="0"/>
    <n v="40000"/>
    <n v="2"/>
    <s v="Partial College"/>
    <x v="1"/>
    <s v="Yes"/>
    <n v="0"/>
    <s v="1-2 Miles"/>
    <x v="0"/>
    <n v="33"/>
    <s v="Middle Age"/>
    <s v="Yes"/>
    <n v="0"/>
    <x v="0"/>
    <x v="0"/>
    <s v="Yes"/>
  </r>
  <r>
    <n v="28521"/>
    <s v="Single"/>
    <x v="1"/>
    <n v="40000"/>
    <n v="0"/>
    <s v="Graduate Degree"/>
    <x v="1"/>
    <s v="No"/>
    <n v="0"/>
    <s v="0-1 Miles"/>
    <x v="0"/>
    <n v="36"/>
    <s v="Middle Age"/>
    <s v="Yes"/>
    <n v="0"/>
    <x v="0"/>
    <x v="0"/>
    <s v="Yes"/>
  </r>
  <r>
    <n v="15450"/>
    <s v="Married"/>
    <x v="1"/>
    <n v="10000"/>
    <n v="1"/>
    <s v="Graduate Degree"/>
    <x v="1"/>
    <s v="Yes"/>
    <n v="0"/>
    <s v="0-1 Miles"/>
    <x v="0"/>
    <n v="70"/>
    <s v="Old"/>
    <s v="No"/>
    <n v="0"/>
    <x v="2"/>
    <x v="2"/>
    <s v="No"/>
  </r>
  <r>
    <n v="25681"/>
    <s v="Single"/>
    <x v="0"/>
    <n v="30000"/>
    <n v="0"/>
    <s v="Partial College"/>
    <x v="1"/>
    <s v="No"/>
    <n v="1"/>
    <s v="2-5 Miles"/>
    <x v="0"/>
    <n v="31"/>
    <s v="Middle Age"/>
    <s v="Yes"/>
    <n v="0"/>
    <x v="0"/>
    <x v="0"/>
    <s v="Yes"/>
  </r>
  <r>
    <n v="19491"/>
    <s v="Single"/>
    <x v="1"/>
    <n v="30000"/>
    <n v="2"/>
    <s v="Partial College"/>
    <x v="1"/>
    <s v="Yes"/>
    <n v="2"/>
    <s v="0-1 Miles"/>
    <x v="0"/>
    <n v="42"/>
    <s v="Middle Age"/>
    <s v="No"/>
    <n v="0"/>
    <x v="0"/>
    <x v="0"/>
    <s v="No"/>
  </r>
  <r>
    <n v="26415"/>
    <s v="Married"/>
    <x v="0"/>
    <n v="90000"/>
    <n v="4"/>
    <s v="Partial High School"/>
    <x v="0"/>
    <s v="Yes"/>
    <n v="4"/>
    <s v="10+ Miles"/>
    <x v="0"/>
    <n v="58"/>
    <s v="Old"/>
    <s v="No"/>
    <n v="0"/>
    <x v="1"/>
    <x v="1"/>
    <s v="No"/>
  </r>
  <r>
    <n v="12821"/>
    <s v="Married"/>
    <x v="1"/>
    <n v="40000"/>
    <n v="0"/>
    <s v="Bachelors"/>
    <x v="1"/>
    <s v="Yes"/>
    <n v="0"/>
    <s v="0-1 Miles"/>
    <x v="0"/>
    <n v="39"/>
    <s v="Middle Age"/>
    <s v="No"/>
    <n v="0"/>
    <x v="0"/>
    <x v="0"/>
    <s v="No"/>
  </r>
  <r>
    <n v="15629"/>
    <s v="Single"/>
    <x v="0"/>
    <n v="10000"/>
    <n v="0"/>
    <s v="Partial High School"/>
    <x v="3"/>
    <s v="Yes"/>
    <n v="2"/>
    <s v="1-2 Miles"/>
    <x v="0"/>
    <n v="34"/>
    <s v="Middle Age"/>
    <s v="No"/>
    <n v="0"/>
    <x v="0"/>
    <x v="2"/>
    <s v="No"/>
  </r>
  <r>
    <n v="27835"/>
    <s v="Married"/>
    <x v="1"/>
    <n v="20000"/>
    <n v="0"/>
    <s v="Partial High School"/>
    <x v="3"/>
    <s v="Yes"/>
    <n v="2"/>
    <s v="0-1 Miles"/>
    <x v="0"/>
    <n v="32"/>
    <s v="Middle Age"/>
    <s v="No"/>
    <n v="0"/>
    <x v="0"/>
    <x v="2"/>
    <s v="No"/>
  </r>
  <r>
    <n v="11738"/>
    <s v="Married"/>
    <x v="1"/>
    <n v="60000"/>
    <n v="4"/>
    <s v="Bachelors"/>
    <x v="2"/>
    <s v="Yes"/>
    <n v="0"/>
    <s v="2-5 Miles"/>
    <x v="2"/>
    <n v="46"/>
    <s v="Middle Age"/>
    <s v="No"/>
    <n v="0"/>
    <x v="1"/>
    <x v="0"/>
    <s v="No"/>
  </r>
  <r>
    <n v="25065"/>
    <s v="Married"/>
    <x v="1"/>
    <n v="70000"/>
    <n v="2"/>
    <s v="Partial High School"/>
    <x v="0"/>
    <s v="Yes"/>
    <n v="2"/>
    <s v="5-10 Miles"/>
    <x v="2"/>
    <n v="48"/>
    <s v="Middle Age"/>
    <s v="No"/>
    <n v="0"/>
    <x v="1"/>
    <x v="0"/>
    <s v="No"/>
  </r>
  <r>
    <n v="26238"/>
    <s v="Single"/>
    <x v="0"/>
    <n v="40000"/>
    <n v="3"/>
    <s v="Partial College"/>
    <x v="1"/>
    <s v="Yes"/>
    <n v="1"/>
    <s v="1-2 Miles"/>
    <x v="2"/>
    <n v="31"/>
    <s v="Middle Age"/>
    <s v="Yes"/>
    <n v="0"/>
    <x v="0"/>
    <x v="0"/>
    <s v="Yes"/>
  </r>
  <r>
    <n v="23707"/>
    <s v="Single"/>
    <x v="1"/>
    <n v="70000"/>
    <n v="5"/>
    <s v="Bachelors"/>
    <x v="4"/>
    <s v="Yes"/>
    <n v="3"/>
    <s v="10+ Miles"/>
    <x v="2"/>
    <n v="60"/>
    <s v="Old"/>
    <s v="Yes"/>
    <n v="0"/>
    <x v="1"/>
    <x v="0"/>
    <s v="Yes"/>
  </r>
  <r>
    <n v="27650"/>
    <s v="Married"/>
    <x v="1"/>
    <n v="70000"/>
    <n v="4"/>
    <s v="High School"/>
    <x v="2"/>
    <s v="Yes"/>
    <n v="0"/>
    <s v="5-10 Miles"/>
    <x v="2"/>
    <n v="51"/>
    <s v="Middle Age"/>
    <s v="No"/>
    <n v="0"/>
    <x v="1"/>
    <x v="0"/>
    <s v="No"/>
  </r>
  <r>
    <n v="24981"/>
    <s v="Married"/>
    <x v="1"/>
    <n v="60000"/>
    <n v="2"/>
    <s v="Partial College"/>
    <x v="2"/>
    <s v="Yes"/>
    <n v="2"/>
    <s v="10+ Miles"/>
    <x v="2"/>
    <n v="56"/>
    <s v="Old"/>
    <s v="No"/>
    <n v="0"/>
    <x v="1"/>
    <x v="0"/>
    <s v="No"/>
  </r>
  <r>
    <n v="20678"/>
    <s v="Single"/>
    <x v="0"/>
    <n v="60000"/>
    <n v="3"/>
    <s v="Bachelors"/>
    <x v="0"/>
    <s v="Yes"/>
    <n v="1"/>
    <s v="2-5 Miles"/>
    <x v="2"/>
    <n v="40"/>
    <s v="Middle Age"/>
    <s v="Yes"/>
    <n v="0"/>
    <x v="0"/>
    <x v="0"/>
    <s v="Yes"/>
  </r>
  <r>
    <n v="15302"/>
    <s v="Single"/>
    <x v="0"/>
    <n v="70000"/>
    <n v="1"/>
    <s v="Graduate Degree"/>
    <x v="2"/>
    <s v="Yes"/>
    <n v="0"/>
    <s v="2-5 Miles"/>
    <x v="2"/>
    <n v="34"/>
    <s v="Middle Age"/>
    <s v="Yes"/>
    <n v="0"/>
    <x v="0"/>
    <x v="0"/>
    <s v="Yes"/>
  </r>
  <r>
    <n v="26012"/>
    <s v="Married"/>
    <x v="1"/>
    <n v="80000"/>
    <n v="1"/>
    <s v="Partial College"/>
    <x v="0"/>
    <s v="Yes"/>
    <n v="1"/>
    <s v="2-5 Miles"/>
    <x v="2"/>
    <n v="48"/>
    <s v="Middle Age"/>
    <s v="Yes"/>
    <n v="0"/>
    <x v="1"/>
    <x v="1"/>
    <s v="Yes"/>
  </r>
  <r>
    <n v="26575"/>
    <s v="Single"/>
    <x v="0"/>
    <n v="40000"/>
    <n v="0"/>
    <s v="High School"/>
    <x v="0"/>
    <s v="No"/>
    <n v="2"/>
    <s v="1-2 Miles"/>
    <x v="2"/>
    <n v="31"/>
    <s v="Middle Age"/>
    <s v="Yes"/>
    <n v="0"/>
    <x v="0"/>
    <x v="0"/>
    <s v="Yes"/>
  </r>
  <r>
    <n v="15559"/>
    <s v="Married"/>
    <x v="1"/>
    <n v="60000"/>
    <n v="5"/>
    <s v="Bachelors"/>
    <x v="2"/>
    <s v="Yes"/>
    <n v="1"/>
    <s v="2-5 Miles"/>
    <x v="2"/>
    <n v="47"/>
    <s v="Middle Age"/>
    <s v="No"/>
    <n v="0"/>
    <x v="1"/>
    <x v="0"/>
    <s v="No"/>
  </r>
  <r>
    <n v="19235"/>
    <s v="Married"/>
    <x v="0"/>
    <n v="50000"/>
    <n v="0"/>
    <s v="Graduate Degree"/>
    <x v="0"/>
    <s v="Yes"/>
    <n v="0"/>
    <s v="0-1 Miles"/>
    <x v="2"/>
    <n v="34"/>
    <s v="Middle Age"/>
    <s v="No"/>
    <n v="0"/>
    <x v="0"/>
    <x v="0"/>
    <s v="No"/>
  </r>
  <r>
    <n v="15275"/>
    <s v="Married"/>
    <x v="1"/>
    <n v="40000"/>
    <n v="0"/>
    <s v="Partial College"/>
    <x v="0"/>
    <s v="Yes"/>
    <n v="1"/>
    <s v="5-10 Miles"/>
    <x v="2"/>
    <n v="29"/>
    <s v="Adolescent"/>
    <s v="No"/>
    <n v="0"/>
    <x v="3"/>
    <x v="0"/>
    <s v="No"/>
  </r>
  <r>
    <n v="20339"/>
    <s v="Married"/>
    <x v="0"/>
    <n v="130000"/>
    <n v="1"/>
    <s v="Bachelors"/>
    <x v="4"/>
    <s v="Yes"/>
    <n v="4"/>
    <s v="2-5 Miles"/>
    <x v="2"/>
    <n v="44"/>
    <s v="Middle Age"/>
    <s v="Yes"/>
    <n v="0"/>
    <x v="0"/>
    <x v="1"/>
    <s v="Yes"/>
  </r>
  <r>
    <n v="25405"/>
    <s v="Married"/>
    <x v="1"/>
    <n v="70000"/>
    <n v="2"/>
    <s v="Bachelors"/>
    <x v="0"/>
    <s v="Yes"/>
    <n v="1"/>
    <s v="2-5 Miles"/>
    <x v="2"/>
    <n v="38"/>
    <s v="Middle Age"/>
    <s v="Yes"/>
    <n v="0"/>
    <x v="0"/>
    <x v="0"/>
    <s v="Yes"/>
  </r>
  <r>
    <n v="15940"/>
    <s v="Married"/>
    <x v="1"/>
    <n v="100000"/>
    <n v="4"/>
    <s v="Partial College"/>
    <x v="2"/>
    <s v="Yes"/>
    <n v="4"/>
    <s v="0-1 Miles"/>
    <x v="2"/>
    <n v="40"/>
    <s v="Middle Age"/>
    <s v="No"/>
    <n v="0"/>
    <x v="0"/>
    <x v="1"/>
    <s v="No"/>
  </r>
  <r>
    <n v="25074"/>
    <s v="Married"/>
    <x v="0"/>
    <n v="70000"/>
    <n v="4"/>
    <s v="Bachelors"/>
    <x v="2"/>
    <s v="Yes"/>
    <n v="2"/>
    <s v="2-5 Miles"/>
    <x v="2"/>
    <n v="42"/>
    <s v="Middle Age"/>
    <s v="Yes"/>
    <n v="0"/>
    <x v="0"/>
    <x v="0"/>
    <s v="Yes"/>
  </r>
  <r>
    <n v="24738"/>
    <s v="Married"/>
    <x v="0"/>
    <n v="40000"/>
    <n v="1"/>
    <s v="Partial College"/>
    <x v="1"/>
    <s v="Yes"/>
    <n v="1"/>
    <s v="1-2 Miles"/>
    <x v="2"/>
    <n v="51"/>
    <s v="Middle Age"/>
    <s v="Yes"/>
    <n v="0"/>
    <x v="1"/>
    <x v="0"/>
    <s v="Yes"/>
  </r>
  <r>
    <n v="16337"/>
    <s v="Married"/>
    <x v="1"/>
    <n v="60000"/>
    <n v="0"/>
    <s v="Partial College"/>
    <x v="0"/>
    <s v="No"/>
    <n v="2"/>
    <s v="1-2 Miles"/>
    <x v="2"/>
    <n v="29"/>
    <s v="Adolescent"/>
    <s v="No"/>
    <n v="0"/>
    <x v="3"/>
    <x v="0"/>
    <s v="No"/>
  </r>
  <r>
    <n v="24357"/>
    <s v="Married"/>
    <x v="1"/>
    <n v="80000"/>
    <n v="3"/>
    <s v="Bachelors"/>
    <x v="2"/>
    <s v="Yes"/>
    <n v="1"/>
    <s v="2-5 Miles"/>
    <x v="2"/>
    <n v="48"/>
    <s v="Middle Age"/>
    <s v="Yes"/>
    <n v="0"/>
    <x v="1"/>
    <x v="1"/>
    <s v="Yes"/>
  </r>
  <r>
    <n v="18613"/>
    <s v="Single"/>
    <x v="1"/>
    <n v="70000"/>
    <n v="0"/>
    <s v="Bachelors"/>
    <x v="2"/>
    <s v="No"/>
    <n v="1"/>
    <s v="2-5 Miles"/>
    <x v="2"/>
    <n v="37"/>
    <s v="Middle Age"/>
    <s v="Yes"/>
    <n v="0"/>
    <x v="0"/>
    <x v="0"/>
    <s v="Yes"/>
  </r>
  <r>
    <n v="12207"/>
    <s v="Single"/>
    <x v="1"/>
    <n v="80000"/>
    <n v="4"/>
    <s v="Bachelors"/>
    <x v="4"/>
    <s v="Yes"/>
    <n v="0"/>
    <s v="5-10 Miles"/>
    <x v="2"/>
    <n v="66"/>
    <s v="Old"/>
    <s v="Yes"/>
    <n v="0"/>
    <x v="2"/>
    <x v="1"/>
    <s v="Yes"/>
  </r>
  <r>
    <n v="18052"/>
    <s v="Married"/>
    <x v="0"/>
    <n v="60000"/>
    <n v="1"/>
    <s v="Partial College"/>
    <x v="0"/>
    <s v="Yes"/>
    <n v="1"/>
    <s v="0-1 Miles"/>
    <x v="2"/>
    <n v="45"/>
    <s v="Middle Age"/>
    <s v="Yes"/>
    <n v="0"/>
    <x v="0"/>
    <x v="0"/>
    <s v="Yes"/>
  </r>
  <r>
    <n v="13353"/>
    <s v="Single"/>
    <x v="0"/>
    <n v="60000"/>
    <n v="4"/>
    <s v="Graduate Degree"/>
    <x v="4"/>
    <s v="Yes"/>
    <n v="2"/>
    <s v="10+ Miles"/>
    <x v="2"/>
    <n v="61"/>
    <s v="Old"/>
    <s v="Yes"/>
    <n v="0"/>
    <x v="2"/>
    <x v="0"/>
    <s v="Yes"/>
  </r>
  <r>
    <n v="19399"/>
    <s v="Single"/>
    <x v="1"/>
    <n v="40000"/>
    <n v="0"/>
    <s v="Bachelors"/>
    <x v="2"/>
    <s v="No"/>
    <n v="1"/>
    <s v="2-5 Miles"/>
    <x v="2"/>
    <n v="45"/>
    <s v="Middle Age"/>
    <s v="No"/>
    <n v="0"/>
    <x v="0"/>
    <x v="0"/>
    <s v="No"/>
  </r>
  <r>
    <n v="16154"/>
    <s v="Married"/>
    <x v="0"/>
    <n v="70000"/>
    <n v="5"/>
    <s v="Bachelors"/>
    <x v="2"/>
    <s v="Yes"/>
    <n v="2"/>
    <s v="2-5 Miles"/>
    <x v="2"/>
    <n v="47"/>
    <s v="Middle Age"/>
    <s v="No"/>
    <n v="0"/>
    <x v="1"/>
    <x v="0"/>
    <s v="No"/>
  </r>
  <r>
    <n v="22219"/>
    <s v="Married"/>
    <x v="0"/>
    <n v="60000"/>
    <n v="2"/>
    <s v="High School"/>
    <x v="2"/>
    <s v="Yes"/>
    <n v="2"/>
    <s v="5-10 Miles"/>
    <x v="2"/>
    <n v="49"/>
    <s v="Middle Age"/>
    <s v="No"/>
    <n v="0"/>
    <x v="1"/>
    <x v="0"/>
    <s v="No"/>
  </r>
  <r>
    <n v="17269"/>
    <s v="Single"/>
    <x v="1"/>
    <n v="60000"/>
    <n v="3"/>
    <s v="Bachelors"/>
    <x v="2"/>
    <s v="No"/>
    <n v="0"/>
    <s v="0-1 Miles"/>
    <x v="2"/>
    <n v="47"/>
    <s v="Middle Age"/>
    <s v="Yes"/>
    <n v="0"/>
    <x v="1"/>
    <x v="0"/>
    <s v="Yes"/>
  </r>
  <r>
    <n v="23586"/>
    <s v="Married"/>
    <x v="0"/>
    <n v="80000"/>
    <n v="0"/>
    <s v="Bachelors"/>
    <x v="4"/>
    <s v="Yes"/>
    <n v="1"/>
    <s v="1-2 Miles"/>
    <x v="2"/>
    <n v="34"/>
    <s v="Middle Age"/>
    <s v="Yes"/>
    <n v="0"/>
    <x v="0"/>
    <x v="1"/>
    <s v="Yes"/>
  </r>
  <r>
    <n v="15740"/>
    <s v="Married"/>
    <x v="1"/>
    <n v="80000"/>
    <n v="5"/>
    <s v="Bachelors"/>
    <x v="4"/>
    <s v="Yes"/>
    <n v="2"/>
    <s v="1-2 Miles"/>
    <x v="2"/>
    <n v="64"/>
    <s v="Old"/>
    <s v="No"/>
    <n v="0"/>
    <x v="2"/>
    <x v="1"/>
    <s v="No"/>
  </r>
  <r>
    <n v="27638"/>
    <s v="Single"/>
    <x v="1"/>
    <n v="100000"/>
    <n v="1"/>
    <s v="Partial College"/>
    <x v="2"/>
    <s v="No"/>
    <n v="3"/>
    <s v="1-2 Miles"/>
    <x v="2"/>
    <n v="44"/>
    <s v="Middle Age"/>
    <s v="No"/>
    <n v="0"/>
    <x v="0"/>
    <x v="1"/>
    <s v="No"/>
  </r>
  <r>
    <n v="18976"/>
    <s v="Single"/>
    <x v="1"/>
    <n v="40000"/>
    <n v="4"/>
    <s v="High School"/>
    <x v="2"/>
    <s v="Yes"/>
    <n v="2"/>
    <s v="10+ Miles"/>
    <x v="2"/>
    <n v="62"/>
    <s v="Old"/>
    <s v="Yes"/>
    <n v="0"/>
    <x v="2"/>
    <x v="0"/>
    <s v="Yes"/>
  </r>
  <r>
    <n v="19413"/>
    <s v="Single"/>
    <x v="1"/>
    <n v="60000"/>
    <n v="3"/>
    <s v="Bachelors"/>
    <x v="2"/>
    <s v="No"/>
    <n v="1"/>
    <s v="0-1 Miles"/>
    <x v="2"/>
    <n v="47"/>
    <s v="Middle Age"/>
    <s v="Yes"/>
    <n v="0"/>
    <x v="1"/>
    <x v="0"/>
    <s v="Yes"/>
  </r>
  <r>
    <n v="13283"/>
    <s v="Married"/>
    <x v="1"/>
    <n v="80000"/>
    <n v="3"/>
    <s v="Partial College"/>
    <x v="2"/>
    <s v="No"/>
    <n v="2"/>
    <s v="0-1 Miles"/>
    <x v="2"/>
    <n v="49"/>
    <s v="Middle Age"/>
    <s v="Yes"/>
    <n v="0"/>
    <x v="1"/>
    <x v="1"/>
    <s v="Yes"/>
  </r>
  <r>
    <n v="17471"/>
    <s v="Single"/>
    <x v="0"/>
    <n v="80000"/>
    <n v="4"/>
    <s v="Graduate Degree"/>
    <x v="4"/>
    <s v="Yes"/>
    <n v="2"/>
    <s v="5-10 Miles"/>
    <x v="2"/>
    <n v="67"/>
    <s v="Old"/>
    <s v="No"/>
    <n v="0"/>
    <x v="2"/>
    <x v="1"/>
    <s v="No"/>
  </r>
  <r>
    <n v="16791"/>
    <s v="Single"/>
    <x v="1"/>
    <n v="60000"/>
    <n v="5"/>
    <s v="Bachelors"/>
    <x v="4"/>
    <s v="Yes"/>
    <n v="3"/>
    <s v="10+ Miles"/>
    <x v="2"/>
    <n v="59"/>
    <s v="Old"/>
    <s v="Yes"/>
    <n v="0"/>
    <x v="1"/>
    <x v="0"/>
    <s v="Yes"/>
  </r>
  <r>
    <n v="15382"/>
    <s v="Married"/>
    <x v="0"/>
    <n v="110000"/>
    <n v="1"/>
    <s v="Bachelors"/>
    <x v="4"/>
    <s v="Yes"/>
    <n v="2"/>
    <s v="1-2 Miles"/>
    <x v="2"/>
    <n v="44"/>
    <s v="Middle Age"/>
    <s v="No"/>
    <n v="0"/>
    <x v="0"/>
    <x v="1"/>
    <s v="No"/>
  </r>
  <r>
    <n v="11641"/>
    <s v="Married"/>
    <x v="1"/>
    <n v="50000"/>
    <n v="1"/>
    <s v="Bachelors"/>
    <x v="0"/>
    <s v="Yes"/>
    <n v="0"/>
    <s v="0-1 Miles"/>
    <x v="2"/>
    <n v="36"/>
    <s v="Middle Age"/>
    <s v="No"/>
    <n v="0"/>
    <x v="0"/>
    <x v="0"/>
    <s v="No"/>
  </r>
  <r>
    <n v="11935"/>
    <s v="Single"/>
    <x v="0"/>
    <n v="30000"/>
    <n v="0"/>
    <s v="Partial College"/>
    <x v="0"/>
    <s v="Yes"/>
    <n v="1"/>
    <s v="5-10 Miles"/>
    <x v="2"/>
    <n v="28"/>
    <s v="Adolescent"/>
    <s v="No"/>
    <n v="0"/>
    <x v="3"/>
    <x v="0"/>
    <s v="No"/>
  </r>
  <r>
    <n v="13233"/>
    <s v="Married"/>
    <x v="1"/>
    <n v="60000"/>
    <n v="2"/>
    <s v="Partial College"/>
    <x v="2"/>
    <s v="Yes"/>
    <n v="1"/>
    <s v="10+ Miles"/>
    <x v="2"/>
    <n v="57"/>
    <s v="Old"/>
    <s v="Yes"/>
    <n v="0"/>
    <x v="1"/>
    <x v="0"/>
    <s v="Yes"/>
  </r>
  <r>
    <n v="25909"/>
    <s v="Married"/>
    <x v="1"/>
    <n v="60000"/>
    <n v="0"/>
    <s v="Partial College"/>
    <x v="0"/>
    <s v="Yes"/>
    <n v="1"/>
    <s v="5-10 Miles"/>
    <x v="2"/>
    <n v="27"/>
    <s v="Adolescent"/>
    <s v="Yes"/>
    <n v="0"/>
    <x v="3"/>
    <x v="0"/>
    <s v="Yes"/>
  </r>
  <r>
    <n v="14092"/>
    <s v="Single"/>
    <x v="1"/>
    <n v="30000"/>
    <n v="0"/>
    <s v="Partial High School"/>
    <x v="1"/>
    <s v="Yes"/>
    <n v="2"/>
    <s v="5-10 Miles"/>
    <x v="2"/>
    <n v="28"/>
    <s v="Adolescent"/>
    <s v="No"/>
    <n v="0"/>
    <x v="3"/>
    <x v="0"/>
    <s v="No"/>
  </r>
  <r>
    <n v="29143"/>
    <s v="Single"/>
    <x v="0"/>
    <n v="60000"/>
    <n v="1"/>
    <s v="Bachelors"/>
    <x v="2"/>
    <s v="No"/>
    <n v="1"/>
    <s v="0-1 Miles"/>
    <x v="2"/>
    <n v="44"/>
    <s v="Middle Age"/>
    <s v="Yes"/>
    <n v="0"/>
    <x v="0"/>
    <x v="0"/>
    <s v="Yes"/>
  </r>
  <r>
    <n v="24941"/>
    <s v="Married"/>
    <x v="1"/>
    <n v="60000"/>
    <n v="3"/>
    <s v="Bachelors"/>
    <x v="4"/>
    <s v="Yes"/>
    <n v="2"/>
    <s v="10+ Miles"/>
    <x v="2"/>
    <n v="66"/>
    <s v="Old"/>
    <s v="No"/>
    <n v="0"/>
    <x v="2"/>
    <x v="0"/>
    <s v="No"/>
  </r>
  <r>
    <n v="24637"/>
    <s v="Married"/>
    <x v="1"/>
    <n v="40000"/>
    <n v="4"/>
    <s v="High School"/>
    <x v="2"/>
    <s v="Yes"/>
    <n v="2"/>
    <s v="10+ Miles"/>
    <x v="2"/>
    <n v="64"/>
    <s v="Old"/>
    <s v="No"/>
    <n v="0"/>
    <x v="2"/>
    <x v="0"/>
    <s v="No"/>
  </r>
  <r>
    <n v="23893"/>
    <s v="Married"/>
    <x v="1"/>
    <n v="50000"/>
    <n v="3"/>
    <s v="Bachelors"/>
    <x v="0"/>
    <s v="Yes"/>
    <n v="3"/>
    <s v="10+ Miles"/>
    <x v="2"/>
    <n v="41"/>
    <s v="Middle Age"/>
    <s v="No"/>
    <n v="0"/>
    <x v="0"/>
    <x v="0"/>
    <s v="No"/>
  </r>
  <r>
    <n v="13907"/>
    <s v="Single"/>
    <x v="0"/>
    <n v="80000"/>
    <n v="3"/>
    <s v="Bachelors"/>
    <x v="0"/>
    <s v="Yes"/>
    <n v="1"/>
    <s v="0-1 Miles"/>
    <x v="2"/>
    <n v="41"/>
    <s v="Middle Age"/>
    <s v="Yes"/>
    <n v="0"/>
    <x v="0"/>
    <x v="1"/>
    <s v="Yes"/>
  </r>
  <r>
    <n v="14900"/>
    <s v="Married"/>
    <x v="0"/>
    <n v="40000"/>
    <n v="1"/>
    <s v="Partial College"/>
    <x v="1"/>
    <s v="Yes"/>
    <n v="1"/>
    <s v="1-2 Miles"/>
    <x v="2"/>
    <n v="49"/>
    <s v="Middle Age"/>
    <s v="Yes"/>
    <n v="0"/>
    <x v="1"/>
    <x v="0"/>
    <s v="Yes"/>
  </r>
  <r>
    <n v="11262"/>
    <s v="Married"/>
    <x v="0"/>
    <n v="80000"/>
    <n v="4"/>
    <s v="Bachelors"/>
    <x v="4"/>
    <s v="Yes"/>
    <n v="0"/>
    <s v="0-1 Miles"/>
    <x v="2"/>
    <n v="42"/>
    <s v="Middle Age"/>
    <s v="No"/>
    <n v="0"/>
    <x v="0"/>
    <x v="1"/>
    <s v="No"/>
  </r>
  <r>
    <n v="22294"/>
    <s v="Single"/>
    <x v="0"/>
    <n v="70000"/>
    <n v="0"/>
    <s v="Bachelors"/>
    <x v="2"/>
    <s v="No"/>
    <n v="1"/>
    <s v="2-5 Miles"/>
    <x v="2"/>
    <n v="37"/>
    <s v="Middle Age"/>
    <s v="Yes"/>
    <n v="0"/>
    <x v="0"/>
    <x v="0"/>
    <s v="Yes"/>
  </r>
  <r>
    <n v="12195"/>
    <s v="Single"/>
    <x v="0"/>
    <n v="70000"/>
    <n v="3"/>
    <s v="Graduate Degree"/>
    <x v="4"/>
    <s v="Yes"/>
    <n v="2"/>
    <s v="1-2 Miles"/>
    <x v="2"/>
    <n v="52"/>
    <s v="Middle Age"/>
    <s v="No"/>
    <n v="0"/>
    <x v="1"/>
    <x v="0"/>
    <s v="No"/>
  </r>
  <r>
    <n v="25375"/>
    <s v="Married"/>
    <x v="1"/>
    <n v="50000"/>
    <n v="1"/>
    <s v="Graduate Degree"/>
    <x v="0"/>
    <s v="Yes"/>
    <n v="0"/>
    <s v="1-2 Miles"/>
    <x v="2"/>
    <n v="34"/>
    <s v="Middle Age"/>
    <s v="No"/>
    <n v="0"/>
    <x v="0"/>
    <x v="0"/>
    <s v="No"/>
  </r>
  <r>
    <n v="11143"/>
    <s v="Married"/>
    <x v="1"/>
    <n v="40000"/>
    <n v="0"/>
    <s v="High School"/>
    <x v="0"/>
    <s v="Yes"/>
    <n v="2"/>
    <s v="5-10 Miles"/>
    <x v="2"/>
    <n v="29"/>
    <s v="Adolescent"/>
    <s v="No"/>
    <n v="0"/>
    <x v="3"/>
    <x v="0"/>
    <s v="No"/>
  </r>
  <r>
    <n v="25898"/>
    <s v="Married"/>
    <x v="0"/>
    <n v="70000"/>
    <n v="2"/>
    <s v="High School"/>
    <x v="2"/>
    <s v="Yes"/>
    <n v="2"/>
    <s v="2-5 Miles"/>
    <x v="2"/>
    <n v="53"/>
    <s v="Middle Age"/>
    <s v="No"/>
    <n v="0"/>
    <x v="1"/>
    <x v="0"/>
    <s v="No"/>
  </r>
  <r>
    <n v="24397"/>
    <s v="Single"/>
    <x v="1"/>
    <n v="120000"/>
    <n v="2"/>
    <s v="Bachelors"/>
    <x v="4"/>
    <s v="No"/>
    <n v="4"/>
    <s v="1-2 Miles"/>
    <x v="2"/>
    <n v="40"/>
    <s v="Middle Age"/>
    <s v="No"/>
    <n v="0"/>
    <x v="0"/>
    <x v="1"/>
    <s v="No"/>
  </r>
  <r>
    <n v="19758"/>
    <s v="Single"/>
    <x v="1"/>
    <n v="60000"/>
    <n v="0"/>
    <s v="Partial College"/>
    <x v="0"/>
    <s v="No"/>
    <n v="2"/>
    <s v="1-2 Miles"/>
    <x v="2"/>
    <n v="29"/>
    <s v="Adolescent"/>
    <s v="No"/>
    <n v="0"/>
    <x v="3"/>
    <x v="0"/>
    <s v="No"/>
  </r>
  <r>
    <n v="15529"/>
    <s v="Married"/>
    <x v="1"/>
    <n v="60000"/>
    <n v="4"/>
    <s v="Bachelors"/>
    <x v="2"/>
    <s v="Yes"/>
    <n v="2"/>
    <s v="2-5 Miles"/>
    <x v="2"/>
    <n v="43"/>
    <s v="Middle Age"/>
    <s v="Yes"/>
    <n v="0"/>
    <x v="0"/>
    <x v="0"/>
    <s v="Yes"/>
  </r>
  <r>
    <n v="19884"/>
    <s v="Married"/>
    <x v="1"/>
    <n v="60000"/>
    <n v="2"/>
    <s v="High School"/>
    <x v="2"/>
    <s v="Yes"/>
    <n v="2"/>
    <s v="2-5 Miles"/>
    <x v="2"/>
    <n v="55"/>
    <s v="Old"/>
    <s v="Yes"/>
    <n v="0"/>
    <x v="1"/>
    <x v="0"/>
    <s v="Yes"/>
  </r>
  <r>
    <n v="18674"/>
    <s v="Single"/>
    <x v="0"/>
    <n v="80000"/>
    <n v="4"/>
    <s v="Graduate Degree"/>
    <x v="0"/>
    <s v="No"/>
    <n v="0"/>
    <s v="0-1 Miles"/>
    <x v="2"/>
    <n v="48"/>
    <s v="Middle Age"/>
    <s v="No"/>
    <n v="0"/>
    <x v="1"/>
    <x v="1"/>
    <s v="No"/>
  </r>
  <r>
    <n v="13453"/>
    <s v="Married"/>
    <x v="0"/>
    <n v="130000"/>
    <n v="3"/>
    <s v="Bachelors"/>
    <x v="4"/>
    <s v="Yes"/>
    <n v="3"/>
    <s v="0-1 Miles"/>
    <x v="2"/>
    <n v="45"/>
    <s v="Middle Age"/>
    <s v="Yes"/>
    <n v="0"/>
    <x v="0"/>
    <x v="1"/>
    <s v="Yes"/>
  </r>
  <r>
    <n v="14063"/>
    <s v="Single"/>
    <x v="0"/>
    <n v="70000"/>
    <n v="0"/>
    <s v="Bachelors"/>
    <x v="2"/>
    <s v="No"/>
    <n v="1"/>
    <s v="0-1 Miles"/>
    <x v="1"/>
    <n v="42"/>
    <s v="Middle Age"/>
    <s v="Yes"/>
    <n v="0"/>
    <x v="0"/>
    <x v="0"/>
    <s v="Yes"/>
  </r>
  <r>
    <n v="27393"/>
    <s v="Married"/>
    <x v="0"/>
    <n v="50000"/>
    <n v="4"/>
    <s v="Bachelors"/>
    <x v="4"/>
    <s v="Yes"/>
    <n v="2"/>
    <s v="10+ Miles"/>
    <x v="2"/>
    <n v="63"/>
    <s v="Old"/>
    <s v="No"/>
    <n v="0"/>
    <x v="2"/>
    <x v="0"/>
    <s v="No"/>
  </r>
  <r>
    <n v="14417"/>
    <s v="Single"/>
    <x v="1"/>
    <n v="60000"/>
    <n v="3"/>
    <s v="High School"/>
    <x v="2"/>
    <s v="Yes"/>
    <n v="2"/>
    <s v="10+ Miles"/>
    <x v="2"/>
    <n v="54"/>
    <s v="Middle Age"/>
    <s v="Yes"/>
    <n v="0"/>
    <x v="1"/>
    <x v="0"/>
    <s v="Yes"/>
  </r>
  <r>
    <n v="17533"/>
    <s v="Married"/>
    <x v="1"/>
    <n v="40000"/>
    <n v="3"/>
    <s v="Partial College"/>
    <x v="2"/>
    <s v="No"/>
    <n v="2"/>
    <s v="5-10 Miles"/>
    <x v="2"/>
    <n v="73"/>
    <s v="Old"/>
    <s v="Yes"/>
    <n v="0"/>
    <x v="2"/>
    <x v="0"/>
    <s v="Yes"/>
  </r>
  <r>
    <n v="18580"/>
    <s v="Married"/>
    <x v="0"/>
    <n v="60000"/>
    <n v="2"/>
    <s v="Graduate Degree"/>
    <x v="2"/>
    <s v="Yes"/>
    <n v="0"/>
    <s v="2-5 Miles"/>
    <x v="2"/>
    <n v="40"/>
    <s v="Middle Age"/>
    <s v="Yes"/>
    <n v="0"/>
    <x v="0"/>
    <x v="0"/>
    <s v="Yes"/>
  </r>
  <r>
    <n v="17025"/>
    <s v="Single"/>
    <x v="1"/>
    <n v="50000"/>
    <n v="0"/>
    <s v="Partial College"/>
    <x v="0"/>
    <s v="No"/>
    <n v="1"/>
    <s v="2-5 Miles"/>
    <x v="2"/>
    <n v="39"/>
    <s v="Middle Age"/>
    <s v="Yes"/>
    <n v="0"/>
    <x v="0"/>
    <x v="0"/>
    <s v="Yes"/>
  </r>
  <r>
    <n v="25293"/>
    <s v="Married"/>
    <x v="1"/>
    <n v="80000"/>
    <n v="4"/>
    <s v="Bachelors"/>
    <x v="4"/>
    <s v="Yes"/>
    <n v="0"/>
    <s v="1-2 Miles"/>
    <x v="2"/>
    <n v="42"/>
    <s v="Middle Age"/>
    <s v="No"/>
    <n v="0"/>
    <x v="0"/>
    <x v="1"/>
    <s v="No"/>
  </r>
  <r>
    <n v="24725"/>
    <s v="Married"/>
    <x v="0"/>
    <n v="40000"/>
    <n v="3"/>
    <s v="Partial College"/>
    <x v="1"/>
    <s v="Yes"/>
    <n v="0"/>
    <s v="1-2 Miles"/>
    <x v="2"/>
    <n v="31"/>
    <s v="Middle Age"/>
    <s v="No"/>
    <n v="0"/>
    <x v="0"/>
    <x v="0"/>
    <s v="No"/>
  </r>
  <r>
    <n v="23200"/>
    <s v="Married"/>
    <x v="0"/>
    <n v="50000"/>
    <n v="3"/>
    <s v="Bachelors"/>
    <x v="0"/>
    <s v="Yes"/>
    <n v="2"/>
    <s v="0-1 Miles"/>
    <x v="2"/>
    <n v="41"/>
    <s v="Middle Age"/>
    <s v="No"/>
    <n v="0"/>
    <x v="0"/>
    <x v="0"/>
    <s v="No"/>
  </r>
  <r>
    <n v="15895"/>
    <s v="Single"/>
    <x v="0"/>
    <n v="60000"/>
    <n v="2"/>
    <s v="Bachelors"/>
    <x v="4"/>
    <s v="Yes"/>
    <n v="0"/>
    <s v="10+ Miles"/>
    <x v="2"/>
    <n v="58"/>
    <s v="Old"/>
    <s v="No"/>
    <n v="0"/>
    <x v="1"/>
    <x v="0"/>
    <s v="No"/>
  </r>
  <r>
    <n v="18577"/>
    <s v="Married"/>
    <x v="0"/>
    <n v="60000"/>
    <n v="0"/>
    <s v="Graduate Degree"/>
    <x v="2"/>
    <s v="Yes"/>
    <n v="0"/>
    <s v="0-1 Miles"/>
    <x v="2"/>
    <n v="40"/>
    <s v="Middle Age"/>
    <s v="No"/>
    <n v="0"/>
    <x v="0"/>
    <x v="0"/>
    <s v="No"/>
  </r>
  <r>
    <n v="27218"/>
    <s v="Married"/>
    <x v="0"/>
    <n v="20000"/>
    <n v="2"/>
    <s v="Partial High School"/>
    <x v="1"/>
    <s v="No"/>
    <n v="0"/>
    <s v="0-1 Miles"/>
    <x v="2"/>
    <n v="48"/>
    <s v="Middle Age"/>
    <s v="No"/>
    <n v="0"/>
    <x v="1"/>
    <x v="2"/>
    <s v="No"/>
  </r>
  <r>
    <n v="18560"/>
    <s v="Married"/>
    <x v="0"/>
    <n v="70000"/>
    <n v="2"/>
    <s v="Graduate Degree"/>
    <x v="2"/>
    <s v="Yes"/>
    <n v="0"/>
    <s v="2-5 Miles"/>
    <x v="2"/>
    <n v="34"/>
    <s v="Middle Age"/>
    <s v="Yes"/>
    <n v="0"/>
    <x v="0"/>
    <x v="0"/>
    <s v="Yes"/>
  </r>
  <r>
    <n v="25006"/>
    <s v="Single"/>
    <x v="0"/>
    <n v="30000"/>
    <n v="0"/>
    <s v="Partial College"/>
    <x v="0"/>
    <s v="Yes"/>
    <n v="1"/>
    <s v="5-10 Miles"/>
    <x v="2"/>
    <n v="28"/>
    <s v="Adolescent"/>
    <s v="No"/>
    <n v="0"/>
    <x v="3"/>
    <x v="0"/>
    <s v="No"/>
  </r>
  <r>
    <n v="17369"/>
    <s v="Single"/>
    <x v="1"/>
    <n v="30000"/>
    <n v="0"/>
    <s v="Partial College"/>
    <x v="0"/>
    <s v="Yes"/>
    <n v="1"/>
    <s v="5-10 Miles"/>
    <x v="2"/>
    <n v="27"/>
    <s v="Adolescent"/>
    <s v="No"/>
    <n v="0"/>
    <x v="3"/>
    <x v="0"/>
    <s v="No"/>
  </r>
  <r>
    <n v="14495"/>
    <s v="Married"/>
    <x v="1"/>
    <n v="40000"/>
    <n v="3"/>
    <s v="Partial College"/>
    <x v="2"/>
    <s v="No"/>
    <n v="2"/>
    <s v="5-10 Miles"/>
    <x v="2"/>
    <n v="54"/>
    <s v="Middle Age"/>
    <s v="Yes"/>
    <n v="0"/>
    <x v="1"/>
    <x v="0"/>
    <s v="Yes"/>
  </r>
  <r>
    <n v="18847"/>
    <s v="Married"/>
    <x v="0"/>
    <n v="60000"/>
    <n v="2"/>
    <s v="Graduate Degree"/>
    <x v="4"/>
    <s v="Yes"/>
    <n v="2"/>
    <s v="5-10 Miles"/>
    <x v="2"/>
    <n v="70"/>
    <s v="Old"/>
    <s v="No"/>
    <n v="0"/>
    <x v="2"/>
    <x v="0"/>
    <s v="No"/>
  </r>
  <r>
    <n v="14754"/>
    <s v="Married"/>
    <x v="1"/>
    <n v="40000"/>
    <n v="1"/>
    <s v="Partial College"/>
    <x v="1"/>
    <s v="Yes"/>
    <n v="1"/>
    <s v="1-2 Miles"/>
    <x v="2"/>
    <n v="48"/>
    <s v="Middle Age"/>
    <s v="Yes"/>
    <n v="0"/>
    <x v="1"/>
    <x v="0"/>
    <s v="Yes"/>
  </r>
  <r>
    <n v="23378"/>
    <s v="Married"/>
    <x v="1"/>
    <n v="70000"/>
    <n v="1"/>
    <s v="Partial College"/>
    <x v="0"/>
    <s v="Yes"/>
    <n v="1"/>
    <s v="2-5 Miles"/>
    <x v="2"/>
    <n v="44"/>
    <s v="Middle Age"/>
    <s v="Yes"/>
    <n v="0"/>
    <x v="0"/>
    <x v="0"/>
    <s v="Yes"/>
  </r>
  <r>
    <n v="26452"/>
    <s v="Single"/>
    <x v="1"/>
    <n v="50000"/>
    <n v="3"/>
    <s v="Graduate Degree"/>
    <x v="4"/>
    <s v="Yes"/>
    <n v="2"/>
    <s v="10+ Miles"/>
    <x v="2"/>
    <n v="69"/>
    <s v="Old"/>
    <s v="No"/>
    <n v="0"/>
    <x v="2"/>
    <x v="0"/>
    <s v="No"/>
  </r>
  <r>
    <n v="20370"/>
    <s v="Married"/>
    <x v="1"/>
    <n v="70000"/>
    <n v="3"/>
    <s v="Partial High School"/>
    <x v="0"/>
    <s v="Yes"/>
    <n v="2"/>
    <s v="5-10 Miles"/>
    <x v="2"/>
    <n v="52"/>
    <s v="Middle Age"/>
    <s v="No"/>
    <n v="0"/>
    <x v="1"/>
    <x v="0"/>
    <s v="No"/>
  </r>
  <r>
    <n v="20528"/>
    <s v="Married"/>
    <x v="1"/>
    <n v="40000"/>
    <n v="2"/>
    <s v="Partial High School"/>
    <x v="0"/>
    <s v="Yes"/>
    <n v="2"/>
    <s v="2-5 Miles"/>
    <x v="2"/>
    <n v="55"/>
    <s v="Old"/>
    <s v="No"/>
    <n v="0"/>
    <x v="1"/>
    <x v="0"/>
    <s v="No"/>
  </r>
  <r>
    <n v="23549"/>
    <s v="Single"/>
    <x v="1"/>
    <n v="30000"/>
    <n v="0"/>
    <s v="High School"/>
    <x v="0"/>
    <s v="Yes"/>
    <n v="2"/>
    <s v="5-10 Miles"/>
    <x v="2"/>
    <n v="30"/>
    <s v="Adolescent"/>
    <s v="No"/>
    <n v="0"/>
    <x v="0"/>
    <x v="0"/>
    <s v="No"/>
  </r>
  <r>
    <n v="21751"/>
    <s v="Married"/>
    <x v="1"/>
    <n v="60000"/>
    <n v="3"/>
    <s v="Graduate Degree"/>
    <x v="4"/>
    <s v="Yes"/>
    <n v="2"/>
    <s v="1-2 Miles"/>
    <x v="2"/>
    <n v="63"/>
    <s v="Old"/>
    <s v="No"/>
    <n v="0"/>
    <x v="2"/>
    <x v="0"/>
    <s v="No"/>
  </r>
  <r>
    <n v="21266"/>
    <s v="Single"/>
    <x v="0"/>
    <n v="80000"/>
    <n v="0"/>
    <s v="Bachelors"/>
    <x v="4"/>
    <s v="Yes"/>
    <n v="1"/>
    <s v="1-2 Miles"/>
    <x v="2"/>
    <n v="34"/>
    <s v="Middle Age"/>
    <s v="Yes"/>
    <n v="0"/>
    <x v="0"/>
    <x v="1"/>
    <s v="Yes"/>
  </r>
  <r>
    <n v="13388"/>
    <s v="Single"/>
    <x v="1"/>
    <n v="60000"/>
    <n v="2"/>
    <s v="Partial College"/>
    <x v="2"/>
    <s v="Yes"/>
    <n v="1"/>
    <s v="10+ Miles"/>
    <x v="2"/>
    <n v="56"/>
    <s v="Old"/>
    <s v="No"/>
    <n v="0"/>
    <x v="1"/>
    <x v="0"/>
    <s v="No"/>
  </r>
  <r>
    <n v="18752"/>
    <s v="Single"/>
    <x v="0"/>
    <n v="40000"/>
    <n v="0"/>
    <s v="High School"/>
    <x v="0"/>
    <s v="Yes"/>
    <n v="1"/>
    <s v="5-10 Miles"/>
    <x v="2"/>
    <n v="31"/>
    <s v="Middle Age"/>
    <s v="No"/>
    <n v="0"/>
    <x v="0"/>
    <x v="0"/>
    <s v="No"/>
  </r>
  <r>
    <n v="16917"/>
    <s v="Married"/>
    <x v="1"/>
    <n v="120000"/>
    <n v="1"/>
    <s v="Bachelors"/>
    <x v="4"/>
    <s v="Yes"/>
    <n v="4"/>
    <s v="0-1 Miles"/>
    <x v="2"/>
    <n v="38"/>
    <s v="Middle Age"/>
    <s v="No"/>
    <n v="0"/>
    <x v="0"/>
    <x v="1"/>
    <s v="No"/>
  </r>
  <r>
    <n v="15313"/>
    <s v="Married"/>
    <x v="1"/>
    <n v="60000"/>
    <n v="4"/>
    <s v="Bachelors"/>
    <x v="4"/>
    <s v="Yes"/>
    <n v="2"/>
    <s v="2-5 Miles"/>
    <x v="2"/>
    <n v="59"/>
    <s v="Old"/>
    <s v="No"/>
    <n v="0"/>
    <x v="1"/>
    <x v="0"/>
    <s v="No"/>
  </r>
  <r>
    <n v="25329"/>
    <s v="Single"/>
    <x v="0"/>
    <n v="40000"/>
    <n v="3"/>
    <s v="Partial College"/>
    <x v="1"/>
    <s v="No"/>
    <n v="2"/>
    <s v="0-1 Miles"/>
    <x v="2"/>
    <n v="32"/>
    <s v="Middle Age"/>
    <s v="No"/>
    <n v="0"/>
    <x v="0"/>
    <x v="0"/>
    <s v="No"/>
  </r>
  <r>
    <n v="20380"/>
    <s v="Married"/>
    <x v="0"/>
    <n v="60000"/>
    <n v="3"/>
    <s v="Graduate Degree"/>
    <x v="4"/>
    <s v="Yes"/>
    <n v="2"/>
    <s v="10+ Miles"/>
    <x v="2"/>
    <n v="69"/>
    <s v="Old"/>
    <s v="No"/>
    <n v="0"/>
    <x v="2"/>
    <x v="0"/>
    <s v="No"/>
  </r>
  <r>
    <n v="23089"/>
    <s v="Married"/>
    <x v="1"/>
    <n v="40000"/>
    <n v="0"/>
    <s v="Partial College"/>
    <x v="0"/>
    <s v="Yes"/>
    <n v="1"/>
    <s v="5-10 Miles"/>
    <x v="2"/>
    <n v="28"/>
    <s v="Adolescent"/>
    <s v="No"/>
    <n v="0"/>
    <x v="3"/>
    <x v="0"/>
    <s v="No"/>
  </r>
  <r>
    <n v="13749"/>
    <s v="Married"/>
    <x v="1"/>
    <n v="80000"/>
    <n v="4"/>
    <s v="Graduate Degree"/>
    <x v="0"/>
    <s v="Yes"/>
    <n v="0"/>
    <s v="1-2 Miles"/>
    <x v="2"/>
    <n v="47"/>
    <s v="Middle Age"/>
    <s v="No"/>
    <n v="0"/>
    <x v="1"/>
    <x v="1"/>
    <s v="No"/>
  </r>
  <r>
    <n v="24943"/>
    <s v="Married"/>
    <x v="1"/>
    <n v="60000"/>
    <n v="3"/>
    <s v="Bachelors"/>
    <x v="4"/>
    <s v="Yes"/>
    <n v="2"/>
    <s v="10+ Miles"/>
    <x v="2"/>
    <n v="66"/>
    <s v="Old"/>
    <s v="No"/>
    <n v="0"/>
    <x v="2"/>
    <x v="0"/>
    <s v="No"/>
  </r>
  <r>
    <n v="28667"/>
    <s v="Single"/>
    <x v="1"/>
    <n v="70000"/>
    <n v="2"/>
    <s v="Bachelors"/>
    <x v="0"/>
    <s v="No"/>
    <n v="1"/>
    <s v="0-1 Miles"/>
    <x v="2"/>
    <n v="37"/>
    <s v="Middle Age"/>
    <s v="Yes"/>
    <n v="0"/>
    <x v="0"/>
    <x v="0"/>
    <s v="Yes"/>
  </r>
  <r>
    <n v="15194"/>
    <s v="Single"/>
    <x v="1"/>
    <n v="120000"/>
    <n v="2"/>
    <s v="Bachelors"/>
    <x v="4"/>
    <s v="No"/>
    <n v="3"/>
    <s v="0-1 Miles"/>
    <x v="2"/>
    <n v="39"/>
    <s v="Middle Age"/>
    <s v="Yes"/>
    <n v="0"/>
    <x v="0"/>
    <x v="1"/>
    <s v="Yes"/>
  </r>
  <r>
    <n v="17436"/>
    <s v="Married"/>
    <x v="1"/>
    <n v="60000"/>
    <n v="2"/>
    <s v="High School"/>
    <x v="2"/>
    <s v="No"/>
    <n v="2"/>
    <s v="1-2 Miles"/>
    <x v="2"/>
    <n v="51"/>
    <s v="Middle Age"/>
    <s v="No"/>
    <n v="0"/>
    <x v="1"/>
    <x v="0"/>
    <s v="No"/>
  </r>
  <r>
    <n v="18935"/>
    <s v="Married"/>
    <x v="0"/>
    <n v="130000"/>
    <n v="0"/>
    <s v="Graduate Degree"/>
    <x v="4"/>
    <s v="Yes"/>
    <n v="3"/>
    <s v="1-2 Miles"/>
    <x v="2"/>
    <n v="40"/>
    <s v="Middle Age"/>
    <s v="No"/>
    <n v="0"/>
    <x v="0"/>
    <x v="1"/>
    <s v="No"/>
  </r>
  <r>
    <n v="16871"/>
    <s v="Married"/>
    <x v="0"/>
    <n v="90000"/>
    <n v="2"/>
    <s v="High School"/>
    <x v="2"/>
    <s v="Yes"/>
    <n v="1"/>
    <s v="10+ Miles"/>
    <x v="2"/>
    <n v="51"/>
    <s v="Middle Age"/>
    <s v="Yes"/>
    <n v="0"/>
    <x v="1"/>
    <x v="1"/>
    <s v="Yes"/>
  </r>
  <r>
    <n v="12100"/>
    <s v="Single"/>
    <x v="1"/>
    <n v="60000"/>
    <n v="2"/>
    <s v="Bachelors"/>
    <x v="4"/>
    <s v="Yes"/>
    <n v="0"/>
    <s v="10+ Miles"/>
    <x v="2"/>
    <n v="57"/>
    <s v="Old"/>
    <s v="No"/>
    <n v="0"/>
    <x v="1"/>
    <x v="0"/>
    <s v="No"/>
  </r>
  <r>
    <n v="23158"/>
    <s v="Married"/>
    <x v="0"/>
    <n v="60000"/>
    <n v="1"/>
    <s v="Graduate Degree"/>
    <x v="2"/>
    <s v="No"/>
    <n v="0"/>
    <s v="0-1 Miles"/>
    <x v="2"/>
    <n v="35"/>
    <s v="Middle Age"/>
    <s v="Yes"/>
    <n v="0"/>
    <x v="0"/>
    <x v="0"/>
    <s v="Yes"/>
  </r>
  <r>
    <n v="18545"/>
    <s v="Married"/>
    <x v="1"/>
    <n v="40000"/>
    <n v="4"/>
    <s v="High School"/>
    <x v="2"/>
    <s v="No"/>
    <n v="2"/>
    <s v="10+ Miles"/>
    <x v="2"/>
    <n v="61"/>
    <s v="Old"/>
    <s v="Yes"/>
    <n v="0"/>
    <x v="2"/>
    <x v="0"/>
    <s v="Yes"/>
  </r>
  <r>
    <n v="18391"/>
    <s v="Single"/>
    <x v="0"/>
    <n v="80000"/>
    <n v="5"/>
    <s v="Partial College"/>
    <x v="2"/>
    <s v="Yes"/>
    <n v="2"/>
    <s v="5-10 Miles"/>
    <x v="2"/>
    <n v="44"/>
    <s v="Middle Age"/>
    <s v="No"/>
    <n v="0"/>
    <x v="0"/>
    <x v="1"/>
    <s v="No"/>
  </r>
  <r>
    <n v="19812"/>
    <s v="Single"/>
    <x v="0"/>
    <n v="70000"/>
    <n v="2"/>
    <s v="Partial College"/>
    <x v="2"/>
    <s v="Yes"/>
    <n v="0"/>
    <s v="5-10 Miles"/>
    <x v="2"/>
    <n v="49"/>
    <s v="Middle Age"/>
    <s v="Yes"/>
    <n v="0"/>
    <x v="1"/>
    <x v="0"/>
    <s v="Yes"/>
  </r>
  <r>
    <n v="27660"/>
    <s v="Married"/>
    <x v="1"/>
    <n v="80000"/>
    <n v="4"/>
    <s v="Graduate Degree"/>
    <x v="4"/>
    <s v="Yes"/>
    <n v="2"/>
    <s v="5-10 Miles"/>
    <x v="2"/>
    <n v="70"/>
    <s v="Old"/>
    <s v="No"/>
    <n v="0"/>
    <x v="2"/>
    <x v="1"/>
    <s v="No"/>
  </r>
  <r>
    <n v="18058"/>
    <s v="Single"/>
    <x v="0"/>
    <n v="20000"/>
    <n v="3"/>
    <s v="High School"/>
    <x v="0"/>
    <s v="Yes"/>
    <n v="2"/>
    <s v="2-5 Miles"/>
    <x v="2"/>
    <n v="78"/>
    <s v="Old"/>
    <s v="No"/>
    <n v="0"/>
    <x v="2"/>
    <x v="2"/>
    <s v="No"/>
  </r>
  <r>
    <n v="20343"/>
    <s v="Married"/>
    <x v="0"/>
    <n v="90000"/>
    <n v="4"/>
    <s v="Partial College"/>
    <x v="2"/>
    <s v="Yes"/>
    <n v="1"/>
    <s v="1-2 Miles"/>
    <x v="2"/>
    <n v="45"/>
    <s v="Middle Age"/>
    <s v="No"/>
    <n v="0"/>
    <x v="0"/>
    <x v="1"/>
    <s v="No"/>
  </r>
  <r>
    <n v="28997"/>
    <s v="Single"/>
    <x v="1"/>
    <n v="40000"/>
    <n v="2"/>
    <s v="High School"/>
    <x v="2"/>
    <s v="No"/>
    <n v="1"/>
    <s v="2-5 Miles"/>
    <x v="2"/>
    <n v="58"/>
    <s v="Old"/>
    <s v="Yes"/>
    <n v="0"/>
    <x v="1"/>
    <x v="0"/>
    <s v="Yes"/>
  </r>
  <r>
    <n v="24398"/>
    <s v="Married"/>
    <x v="1"/>
    <n v="130000"/>
    <n v="1"/>
    <s v="Graduate Degree"/>
    <x v="4"/>
    <s v="Yes"/>
    <n v="4"/>
    <s v="0-1 Miles"/>
    <x v="2"/>
    <n v="41"/>
    <s v="Middle Age"/>
    <s v="No"/>
    <n v="0"/>
    <x v="0"/>
    <x v="1"/>
    <s v="No"/>
  </r>
  <r>
    <n v="19002"/>
    <s v="Married"/>
    <x v="0"/>
    <n v="60000"/>
    <n v="2"/>
    <s v="Partial College"/>
    <x v="2"/>
    <s v="Yes"/>
    <n v="1"/>
    <s v="2-5 Miles"/>
    <x v="2"/>
    <n v="57"/>
    <s v="Old"/>
    <s v="Yes"/>
    <n v="0"/>
    <x v="1"/>
    <x v="0"/>
    <s v="Yes"/>
  </r>
  <r>
    <n v="28609"/>
    <s v="Married"/>
    <x v="1"/>
    <n v="30000"/>
    <n v="2"/>
    <s v="High School"/>
    <x v="0"/>
    <s v="No"/>
    <n v="2"/>
    <s v="0-1 Miles"/>
    <x v="2"/>
    <n v="49"/>
    <s v="Middle Age"/>
    <s v="No"/>
    <n v="0"/>
    <x v="1"/>
    <x v="0"/>
    <s v="No"/>
  </r>
  <r>
    <n v="29231"/>
    <s v="Single"/>
    <x v="1"/>
    <n v="80000"/>
    <n v="4"/>
    <s v="Partial College"/>
    <x v="2"/>
    <s v="No"/>
    <n v="2"/>
    <s v="0-1 Miles"/>
    <x v="2"/>
    <n v="43"/>
    <s v="Middle Age"/>
    <s v="No"/>
    <n v="0"/>
    <x v="0"/>
    <x v="1"/>
    <s v="No"/>
  </r>
  <r>
    <n v="18858"/>
    <s v="Single"/>
    <x v="1"/>
    <n v="60000"/>
    <n v="2"/>
    <s v="Partial High School"/>
    <x v="0"/>
    <s v="Yes"/>
    <n v="2"/>
    <s v="5-10 Miles"/>
    <x v="2"/>
    <n v="52"/>
    <s v="Middle Age"/>
    <s v="Yes"/>
    <n v="0"/>
    <x v="1"/>
    <x v="0"/>
    <s v="Yes"/>
  </r>
  <r>
    <n v="20000"/>
    <s v="Married"/>
    <x v="1"/>
    <n v="60000"/>
    <n v="1"/>
    <s v="Graduate Degree"/>
    <x v="2"/>
    <s v="Yes"/>
    <n v="0"/>
    <s v="0-1 Miles"/>
    <x v="2"/>
    <n v="35"/>
    <s v="Middle Age"/>
    <s v="Yes"/>
    <n v="0"/>
    <x v="0"/>
    <x v="0"/>
    <s v="Yes"/>
  </r>
  <r>
    <n v="25261"/>
    <s v="Married"/>
    <x v="1"/>
    <n v="40000"/>
    <n v="0"/>
    <s v="High School"/>
    <x v="0"/>
    <s v="Yes"/>
    <n v="2"/>
    <s v="5-10 Miles"/>
    <x v="2"/>
    <n v="27"/>
    <s v="Adolescent"/>
    <s v="No"/>
    <n v="0"/>
    <x v="3"/>
    <x v="0"/>
    <s v="No"/>
  </r>
  <r>
    <n v="17458"/>
    <s v="Single"/>
    <x v="1"/>
    <n v="70000"/>
    <n v="3"/>
    <s v="High School"/>
    <x v="2"/>
    <s v="Yes"/>
    <n v="0"/>
    <s v="5-10 Miles"/>
    <x v="2"/>
    <n v="52"/>
    <s v="Middle Age"/>
    <s v="Yes"/>
    <n v="0"/>
    <x v="1"/>
    <x v="0"/>
    <s v="Yes"/>
  </r>
  <r>
    <n v="11644"/>
    <s v="Single"/>
    <x v="1"/>
    <n v="40000"/>
    <n v="2"/>
    <s v="Bachelors"/>
    <x v="0"/>
    <s v="Yes"/>
    <n v="0"/>
    <s v="2-5 Miles"/>
    <x v="2"/>
    <n v="36"/>
    <s v="Middle Age"/>
    <s v="No"/>
    <n v="0"/>
    <x v="0"/>
    <x v="0"/>
    <s v="No"/>
  </r>
  <r>
    <n v="16145"/>
    <s v="Single"/>
    <x v="0"/>
    <n v="70000"/>
    <n v="5"/>
    <s v="Graduate Degree"/>
    <x v="2"/>
    <s v="Yes"/>
    <n v="3"/>
    <s v="10+ Miles"/>
    <x v="2"/>
    <n v="46"/>
    <s v="Middle Age"/>
    <s v="Yes"/>
    <n v="0"/>
    <x v="1"/>
    <x v="0"/>
    <s v="Yes"/>
  </r>
  <r>
    <n v="16890"/>
    <s v="Married"/>
    <x v="1"/>
    <n v="60000"/>
    <n v="3"/>
    <s v="Partial High School"/>
    <x v="0"/>
    <s v="Yes"/>
    <n v="2"/>
    <s v="5-10 Miles"/>
    <x v="2"/>
    <n v="52"/>
    <s v="Middle Age"/>
    <s v="Yes"/>
    <n v="0"/>
    <x v="1"/>
    <x v="0"/>
    <s v="Yes"/>
  </r>
  <r>
    <n v="25983"/>
    <s v="Married"/>
    <x v="1"/>
    <n v="70000"/>
    <n v="0"/>
    <s v="Bachelors"/>
    <x v="2"/>
    <s v="No"/>
    <n v="1"/>
    <s v="0-1 Miles"/>
    <x v="2"/>
    <n v="43"/>
    <s v="Middle Age"/>
    <s v="No"/>
    <n v="0"/>
    <x v="0"/>
    <x v="0"/>
    <s v="No"/>
  </r>
  <r>
    <n v="14633"/>
    <s v="Married"/>
    <x v="1"/>
    <n v="60000"/>
    <n v="1"/>
    <s v="Partial College"/>
    <x v="0"/>
    <s v="Yes"/>
    <n v="1"/>
    <s v="2-5 Miles"/>
    <x v="2"/>
    <n v="44"/>
    <s v="Middle Age"/>
    <s v="No"/>
    <n v="0"/>
    <x v="0"/>
    <x v="0"/>
    <s v="No"/>
  </r>
  <r>
    <n v="22994"/>
    <s v="Married"/>
    <x v="0"/>
    <n v="80000"/>
    <n v="0"/>
    <s v="Bachelors"/>
    <x v="4"/>
    <s v="Yes"/>
    <n v="1"/>
    <s v="1-2 Miles"/>
    <x v="2"/>
    <n v="34"/>
    <s v="Middle Age"/>
    <s v="Yes"/>
    <n v="0"/>
    <x v="0"/>
    <x v="1"/>
    <s v="Yes"/>
  </r>
  <r>
    <n v="22983"/>
    <s v="Single"/>
    <x v="0"/>
    <n v="30000"/>
    <n v="0"/>
    <s v="Partial High School"/>
    <x v="1"/>
    <s v="Yes"/>
    <n v="2"/>
    <s v="5-10 Miles"/>
    <x v="2"/>
    <n v="27"/>
    <s v="Adolescent"/>
    <s v="No"/>
    <n v="0"/>
    <x v="3"/>
    <x v="0"/>
    <s v="No"/>
  </r>
  <r>
    <n v="25184"/>
    <s v="Single"/>
    <x v="1"/>
    <n v="110000"/>
    <n v="1"/>
    <s v="Partial College"/>
    <x v="2"/>
    <s v="Yes"/>
    <n v="4"/>
    <s v="5-10 Miles"/>
    <x v="2"/>
    <n v="45"/>
    <s v="Middle Age"/>
    <s v="Yes"/>
    <n v="0"/>
    <x v="0"/>
    <x v="1"/>
    <s v="Yes"/>
  </r>
  <r>
    <n v="14469"/>
    <s v="Married"/>
    <x v="0"/>
    <n v="100000"/>
    <n v="3"/>
    <s v="Partial College"/>
    <x v="2"/>
    <s v="Yes"/>
    <n v="4"/>
    <s v="1-2 Miles"/>
    <x v="2"/>
    <n v="45"/>
    <s v="Middle Age"/>
    <s v="No"/>
    <n v="0"/>
    <x v="0"/>
    <x v="1"/>
    <s v="No"/>
  </r>
  <r>
    <n v="11538"/>
    <s v="Single"/>
    <x v="0"/>
    <n v="60000"/>
    <n v="4"/>
    <s v="Graduate Degree"/>
    <x v="0"/>
    <s v="No"/>
    <n v="0"/>
    <s v="0-1 Miles"/>
    <x v="2"/>
    <n v="47"/>
    <s v="Middle Age"/>
    <s v="Yes"/>
    <n v="0"/>
    <x v="1"/>
    <x v="0"/>
    <s v="Yes"/>
  </r>
  <r>
    <n v="16245"/>
    <s v="Single"/>
    <x v="0"/>
    <n v="80000"/>
    <n v="4"/>
    <s v="Graduate Degree"/>
    <x v="0"/>
    <s v="Yes"/>
    <n v="0"/>
    <s v="1-2 Miles"/>
    <x v="2"/>
    <n v="47"/>
    <s v="Middle Age"/>
    <s v="No"/>
    <n v="0"/>
    <x v="1"/>
    <x v="1"/>
    <s v="No"/>
  </r>
  <r>
    <n v="17858"/>
    <s v="Married"/>
    <x v="1"/>
    <n v="40000"/>
    <n v="4"/>
    <s v="High School"/>
    <x v="0"/>
    <s v="Yes"/>
    <n v="2"/>
    <s v="2-5 Miles"/>
    <x v="2"/>
    <n v="44"/>
    <s v="Middle Age"/>
    <s v="Yes"/>
    <n v="0"/>
    <x v="0"/>
    <x v="0"/>
    <s v="Yes"/>
  </r>
  <r>
    <n v="25347"/>
    <s v="Single"/>
    <x v="0"/>
    <n v="20000"/>
    <n v="3"/>
    <s v="Partial High School"/>
    <x v="1"/>
    <s v="No"/>
    <n v="2"/>
    <s v="0-1 Miles"/>
    <x v="2"/>
    <n v="49"/>
    <s v="Middle Age"/>
    <s v="No"/>
    <n v="0"/>
    <x v="1"/>
    <x v="2"/>
    <s v="No"/>
  </r>
  <r>
    <n v="15814"/>
    <s v="Single"/>
    <x v="0"/>
    <n v="40000"/>
    <n v="0"/>
    <s v="High School"/>
    <x v="0"/>
    <s v="Yes"/>
    <n v="1"/>
    <s v="5-10 Miles"/>
    <x v="2"/>
    <n v="30"/>
    <s v="Adolescent"/>
    <s v="No"/>
    <n v="0"/>
    <x v="0"/>
    <x v="0"/>
    <s v="No"/>
  </r>
  <r>
    <n v="11259"/>
    <s v="Married"/>
    <x v="0"/>
    <n v="100000"/>
    <n v="4"/>
    <s v="Partial College"/>
    <x v="2"/>
    <s v="Yes"/>
    <n v="4"/>
    <s v="2-5 Miles"/>
    <x v="2"/>
    <n v="41"/>
    <s v="Middle Age"/>
    <s v="Yes"/>
    <n v="0"/>
    <x v="0"/>
    <x v="1"/>
    <s v="Yes"/>
  </r>
  <r>
    <n v="11200"/>
    <s v="Married"/>
    <x v="1"/>
    <n v="70000"/>
    <n v="4"/>
    <s v="Bachelors"/>
    <x v="4"/>
    <s v="Yes"/>
    <n v="1"/>
    <s v="1-2 Miles"/>
    <x v="2"/>
    <n v="58"/>
    <s v="Old"/>
    <s v="No"/>
    <n v="0"/>
    <x v="1"/>
    <x v="0"/>
    <s v="No"/>
  </r>
  <r>
    <n v="25101"/>
    <s v="Married"/>
    <x v="1"/>
    <n v="60000"/>
    <n v="5"/>
    <s v="Bachelors"/>
    <x v="2"/>
    <s v="Yes"/>
    <n v="1"/>
    <s v="2-5 Miles"/>
    <x v="2"/>
    <n v="47"/>
    <s v="Middle Age"/>
    <s v="No"/>
    <n v="0"/>
    <x v="1"/>
    <x v="0"/>
    <s v="No"/>
  </r>
  <r>
    <n v="21801"/>
    <s v="Married"/>
    <x v="0"/>
    <n v="70000"/>
    <n v="4"/>
    <s v="Partial College"/>
    <x v="2"/>
    <s v="Yes"/>
    <n v="1"/>
    <s v="1-2 Miles"/>
    <x v="2"/>
    <n v="55"/>
    <s v="Old"/>
    <s v="No"/>
    <n v="0"/>
    <x v="1"/>
    <x v="0"/>
    <s v="No"/>
  </r>
  <r>
    <n v="25943"/>
    <s v="Single"/>
    <x v="0"/>
    <n v="70000"/>
    <n v="0"/>
    <s v="Partial College"/>
    <x v="0"/>
    <s v="No"/>
    <n v="2"/>
    <s v="0-1 Miles"/>
    <x v="2"/>
    <n v="27"/>
    <s v="Adolescent"/>
    <s v="Yes"/>
    <n v="0"/>
    <x v="3"/>
    <x v="0"/>
    <s v="Yes"/>
  </r>
  <r>
    <n v="22127"/>
    <s v="Married"/>
    <x v="1"/>
    <n v="60000"/>
    <n v="3"/>
    <s v="Graduate Degree"/>
    <x v="4"/>
    <s v="Yes"/>
    <n v="2"/>
    <s v="1-2 Miles"/>
    <x v="2"/>
    <n v="67"/>
    <s v="Old"/>
    <s v="No"/>
    <n v="0"/>
    <x v="2"/>
    <x v="0"/>
    <s v="No"/>
  </r>
  <r>
    <n v="20414"/>
    <s v="Married"/>
    <x v="0"/>
    <n v="60000"/>
    <n v="0"/>
    <s v="Partial College"/>
    <x v="0"/>
    <s v="Yes"/>
    <n v="2"/>
    <s v="5-10 Miles"/>
    <x v="2"/>
    <n v="29"/>
    <s v="Adolescent"/>
    <s v="No"/>
    <n v="0"/>
    <x v="3"/>
    <x v="0"/>
    <s v="No"/>
  </r>
  <r>
    <n v="23672"/>
    <s v="Married"/>
    <x v="0"/>
    <n v="60000"/>
    <n v="3"/>
    <s v="Graduate Degree"/>
    <x v="4"/>
    <s v="Yes"/>
    <n v="2"/>
    <s v="1-2 Miles"/>
    <x v="2"/>
    <n v="67"/>
    <s v="Old"/>
    <s v="No"/>
    <n v="0"/>
    <x v="2"/>
    <x v="0"/>
    <s v="No"/>
  </r>
  <r>
    <n v="29255"/>
    <s v="Single"/>
    <x v="1"/>
    <n v="80000"/>
    <n v="3"/>
    <s v="Partial College"/>
    <x v="2"/>
    <s v="No"/>
    <n v="1"/>
    <s v="1-2 Miles"/>
    <x v="2"/>
    <n v="51"/>
    <s v="Middle Age"/>
    <s v="Yes"/>
    <n v="0"/>
    <x v="1"/>
    <x v="1"/>
    <s v="Yes"/>
  </r>
  <r>
    <n v="28815"/>
    <s v="Married"/>
    <x v="0"/>
    <n v="50000"/>
    <n v="1"/>
    <s v="Graduate Degree"/>
    <x v="0"/>
    <s v="Yes"/>
    <n v="0"/>
    <s v="0-1 Miles"/>
    <x v="2"/>
    <n v="35"/>
    <s v="Middle Age"/>
    <s v="No"/>
    <n v="0"/>
    <x v="0"/>
    <x v="0"/>
    <s v="No"/>
  </r>
  <r>
    <n v="27753"/>
    <s v="Married"/>
    <x v="1"/>
    <n v="40000"/>
    <n v="0"/>
    <s v="High School"/>
    <x v="0"/>
    <s v="No"/>
    <n v="2"/>
    <s v="1-2 Miles"/>
    <x v="2"/>
    <n v="30"/>
    <s v="Adolescent"/>
    <s v="No"/>
    <n v="0"/>
    <x v="0"/>
    <x v="0"/>
    <s v="No"/>
  </r>
  <r>
    <n v="27643"/>
    <s v="Single"/>
    <x v="1"/>
    <n v="70000"/>
    <n v="5"/>
    <s v="Partial College"/>
    <x v="2"/>
    <s v="Yes"/>
    <n v="3"/>
    <s v="2-5 Miles"/>
    <x v="2"/>
    <n v="44"/>
    <s v="Middle Age"/>
    <s v="No"/>
    <n v="0"/>
    <x v="0"/>
    <x v="0"/>
    <s v="No"/>
  </r>
  <r>
    <n v="13754"/>
    <s v="Single"/>
    <x v="0"/>
    <n v="80000"/>
    <n v="4"/>
    <s v="Graduate Degree"/>
    <x v="0"/>
    <s v="Yes"/>
    <n v="0"/>
    <s v="1-2 Miles"/>
    <x v="2"/>
    <n v="48"/>
    <s v="Middle Age"/>
    <s v="No"/>
    <n v="0"/>
    <x v="1"/>
    <x v="1"/>
    <s v="No"/>
  </r>
  <r>
    <n v="22088"/>
    <s v="Married"/>
    <x v="0"/>
    <n v="130000"/>
    <n v="1"/>
    <s v="Bachelors"/>
    <x v="4"/>
    <s v="Yes"/>
    <n v="2"/>
    <s v="0-1 Miles"/>
    <x v="2"/>
    <n v="45"/>
    <s v="Middle Age"/>
    <s v="Yes"/>
    <n v="0"/>
    <x v="0"/>
    <x v="1"/>
    <s v="Yes"/>
  </r>
  <r>
    <n v="27388"/>
    <s v="Married"/>
    <x v="1"/>
    <n v="60000"/>
    <n v="3"/>
    <s v="Bachelors"/>
    <x v="4"/>
    <s v="No"/>
    <n v="2"/>
    <s v="1-2 Miles"/>
    <x v="2"/>
    <n v="66"/>
    <s v="Old"/>
    <s v="No"/>
    <n v="0"/>
    <x v="2"/>
    <x v="0"/>
    <s v="No"/>
  </r>
  <r>
    <n v="24745"/>
    <s v="Single"/>
    <x v="0"/>
    <n v="30000"/>
    <n v="2"/>
    <s v="High School"/>
    <x v="0"/>
    <s v="No"/>
    <n v="2"/>
    <s v="0-1 Miles"/>
    <x v="2"/>
    <n v="49"/>
    <s v="Middle Age"/>
    <s v="No"/>
    <n v="0"/>
    <x v="1"/>
    <x v="0"/>
    <s v="No"/>
  </r>
  <r>
    <n v="29237"/>
    <s v="Single"/>
    <x v="0"/>
    <n v="120000"/>
    <n v="4"/>
    <s v="Partial College"/>
    <x v="2"/>
    <s v="Yes"/>
    <n v="3"/>
    <s v="5-10 Miles"/>
    <x v="2"/>
    <n v="43"/>
    <s v="Middle Age"/>
    <s v="Yes"/>
    <n v="0"/>
    <x v="0"/>
    <x v="1"/>
    <s v="Yes"/>
  </r>
  <r>
    <n v="15272"/>
    <s v="Single"/>
    <x v="1"/>
    <n v="40000"/>
    <n v="0"/>
    <s v="High School"/>
    <x v="0"/>
    <s v="No"/>
    <n v="2"/>
    <s v="1-2 Miles"/>
    <x v="2"/>
    <n v="30"/>
    <s v="Adolescent"/>
    <s v="No"/>
    <n v="0"/>
    <x v="0"/>
    <x v="0"/>
    <s v="No"/>
  </r>
  <r>
    <n v="18949"/>
    <s v="Single"/>
    <x v="1"/>
    <n v="70000"/>
    <n v="0"/>
    <s v="Graduate Degree"/>
    <x v="4"/>
    <s v="Yes"/>
    <n v="2"/>
    <s v="5-10 Miles"/>
    <x v="2"/>
    <n v="74"/>
    <s v="Old"/>
    <s v="Yes"/>
    <n v="0"/>
    <x v="2"/>
    <x v="0"/>
    <s v="Yes"/>
  </r>
  <r>
    <n v="14507"/>
    <s v="Married"/>
    <x v="1"/>
    <n v="100000"/>
    <n v="2"/>
    <s v="Graduate Degree"/>
    <x v="4"/>
    <s v="Yes"/>
    <n v="3"/>
    <s v="1-2 Miles"/>
    <x v="2"/>
    <n v="65"/>
    <s v="Old"/>
    <s v="No"/>
    <n v="0"/>
    <x v="2"/>
    <x v="1"/>
    <s v="No"/>
  </r>
  <r>
    <n v="25886"/>
    <s v="Married"/>
    <x v="0"/>
    <n v="60000"/>
    <n v="2"/>
    <s v="Partial College"/>
    <x v="2"/>
    <s v="Yes"/>
    <n v="2"/>
    <s v="2-5 Miles"/>
    <x v="2"/>
    <n v="56"/>
    <s v="Old"/>
    <s v="Yes"/>
    <n v="0"/>
    <x v="1"/>
    <x v="0"/>
    <s v="Yes"/>
  </r>
  <r>
    <n v="21441"/>
    <s v="Married"/>
    <x v="1"/>
    <n v="50000"/>
    <n v="4"/>
    <s v="Bachelors"/>
    <x v="4"/>
    <s v="Yes"/>
    <n v="2"/>
    <s v="10+ Miles"/>
    <x v="2"/>
    <n v="64"/>
    <s v="Old"/>
    <s v="No"/>
    <n v="0"/>
    <x v="2"/>
    <x v="0"/>
    <s v="No"/>
  </r>
  <r>
    <n v="21741"/>
    <s v="Married"/>
    <x v="0"/>
    <n v="70000"/>
    <n v="3"/>
    <s v="Partial College"/>
    <x v="2"/>
    <s v="Yes"/>
    <n v="2"/>
    <s v="5-10 Miles"/>
    <x v="2"/>
    <n v="50"/>
    <s v="Middle Age"/>
    <s v="Yes"/>
    <n v="0"/>
    <x v="1"/>
    <x v="0"/>
    <s v="Yes"/>
  </r>
  <r>
    <n v="14572"/>
    <s v="Married"/>
    <x v="0"/>
    <n v="70000"/>
    <n v="3"/>
    <s v="Graduate Degree"/>
    <x v="2"/>
    <s v="Yes"/>
    <n v="0"/>
    <s v="2-5 Miles"/>
    <x v="2"/>
    <n v="35"/>
    <s v="Middle Age"/>
    <s v="Yes"/>
    <n v="0"/>
    <x v="0"/>
    <x v="0"/>
    <s v="Yes"/>
  </r>
  <r>
    <n v="23368"/>
    <s v="Married"/>
    <x v="0"/>
    <n v="60000"/>
    <n v="5"/>
    <s v="Bachelors"/>
    <x v="0"/>
    <s v="Yes"/>
    <n v="3"/>
    <s v="10+ Miles"/>
    <x v="2"/>
    <n v="41"/>
    <s v="Middle Age"/>
    <s v="No"/>
    <n v="0"/>
    <x v="0"/>
    <x v="0"/>
    <s v="No"/>
  </r>
  <r>
    <n v="16217"/>
    <s v="Single"/>
    <x v="0"/>
    <n v="60000"/>
    <n v="0"/>
    <s v="Graduate Degree"/>
    <x v="0"/>
    <s v="Yes"/>
    <n v="0"/>
    <s v="0-1 Miles"/>
    <x v="2"/>
    <n v="39"/>
    <s v="Middle Age"/>
    <s v="No"/>
    <n v="0"/>
    <x v="0"/>
    <x v="0"/>
    <s v="No"/>
  </r>
  <r>
    <n v="16247"/>
    <s v="Single"/>
    <x v="0"/>
    <n v="60000"/>
    <n v="4"/>
    <s v="Graduate Degree"/>
    <x v="0"/>
    <s v="No"/>
    <n v="0"/>
    <s v="1-2 Miles"/>
    <x v="2"/>
    <n v="47"/>
    <s v="Middle Age"/>
    <s v="No"/>
    <n v="0"/>
    <x v="1"/>
    <x v="0"/>
    <s v="No"/>
  </r>
  <r>
    <n v="22010"/>
    <s v="Single"/>
    <x v="1"/>
    <n v="40000"/>
    <n v="0"/>
    <s v="High School"/>
    <x v="0"/>
    <s v="Yes"/>
    <n v="2"/>
    <s v="5-10 Miles"/>
    <x v="2"/>
    <n v="31"/>
    <s v="Middle Age"/>
    <s v="No"/>
    <n v="0"/>
    <x v="0"/>
    <x v="0"/>
    <s v="No"/>
  </r>
  <r>
    <n v="25872"/>
    <s v="Single"/>
    <x v="0"/>
    <n v="70000"/>
    <n v="2"/>
    <s v="Bachelors"/>
    <x v="4"/>
    <s v="No"/>
    <n v="1"/>
    <s v="2-5 Miles"/>
    <x v="2"/>
    <n v="58"/>
    <s v="Old"/>
    <s v="Yes"/>
    <n v="0"/>
    <x v="1"/>
    <x v="0"/>
    <s v="Yes"/>
  </r>
  <r>
    <n v="19164"/>
    <s v="Single"/>
    <x v="0"/>
    <n v="70000"/>
    <n v="0"/>
    <s v="Bachelors"/>
    <x v="2"/>
    <s v="No"/>
    <n v="1"/>
    <s v="2-5 Miles"/>
    <x v="2"/>
    <n v="38"/>
    <s v="Middle Age"/>
    <s v="Yes"/>
    <n v="0"/>
    <x v="0"/>
    <x v="0"/>
    <s v="Yes"/>
  </r>
  <r>
    <n v="18435"/>
    <s v="Single"/>
    <x v="0"/>
    <n v="70000"/>
    <n v="5"/>
    <s v="Graduate Degree"/>
    <x v="4"/>
    <s v="Yes"/>
    <n v="2"/>
    <s v="10+ Miles"/>
    <x v="2"/>
    <n v="67"/>
    <s v="Old"/>
    <s v="Yes"/>
    <n v="0"/>
    <x v="2"/>
    <x v="0"/>
    <s v="Yes"/>
  </r>
  <r>
    <n v="14284"/>
    <s v="Single"/>
    <x v="1"/>
    <n v="60000"/>
    <n v="0"/>
    <s v="Partial College"/>
    <x v="2"/>
    <s v="No"/>
    <n v="2"/>
    <s v="1-2 Miles"/>
    <x v="2"/>
    <n v="32"/>
    <s v="Middle Age"/>
    <s v="Yes"/>
    <n v="0"/>
    <x v="0"/>
    <x v="0"/>
    <s v="Yes"/>
  </r>
  <r>
    <n v="11287"/>
    <s v="Married"/>
    <x v="1"/>
    <n v="70000"/>
    <n v="5"/>
    <s v="Partial College"/>
    <x v="2"/>
    <s v="No"/>
    <n v="3"/>
    <s v="5-10 Miles"/>
    <x v="2"/>
    <n v="45"/>
    <s v="Middle Age"/>
    <s v="No"/>
    <n v="0"/>
    <x v="0"/>
    <x v="0"/>
    <s v="No"/>
  </r>
  <r>
    <n v="13066"/>
    <s v="Single"/>
    <x v="1"/>
    <n v="30000"/>
    <n v="0"/>
    <s v="High School"/>
    <x v="0"/>
    <s v="No"/>
    <n v="2"/>
    <s v="1-2 Miles"/>
    <x v="2"/>
    <n v="31"/>
    <s v="Middle Age"/>
    <s v="Yes"/>
    <n v="0"/>
    <x v="0"/>
    <x v="0"/>
    <s v="Yes"/>
  </r>
  <r>
    <n v="29106"/>
    <s v="Single"/>
    <x v="1"/>
    <n v="40000"/>
    <n v="0"/>
    <s v="High School"/>
    <x v="0"/>
    <s v="No"/>
    <n v="2"/>
    <s v="1-2 Miles"/>
    <x v="2"/>
    <n v="31"/>
    <s v="Middle Age"/>
    <s v="Yes"/>
    <n v="0"/>
    <x v="0"/>
    <x v="0"/>
    <s v="Yes"/>
  </r>
  <r>
    <n v="26236"/>
    <s v="Married"/>
    <x v="0"/>
    <n v="40000"/>
    <n v="3"/>
    <s v="Partial College"/>
    <x v="1"/>
    <s v="Yes"/>
    <n v="1"/>
    <s v="0-1 Miles"/>
    <x v="2"/>
    <n v="31"/>
    <s v="Middle Age"/>
    <s v="No"/>
    <n v="0"/>
    <x v="0"/>
    <x v="0"/>
    <s v="No"/>
  </r>
  <r>
    <n v="17531"/>
    <s v="Married"/>
    <x v="1"/>
    <n v="60000"/>
    <n v="2"/>
    <s v="High School"/>
    <x v="2"/>
    <s v="No"/>
    <n v="2"/>
    <s v="5-10 Miles"/>
    <x v="2"/>
    <n v="50"/>
    <s v="Middle Age"/>
    <s v="No"/>
    <n v="0"/>
    <x v="1"/>
    <x v="0"/>
    <s v="No"/>
  </r>
  <r>
    <n v="12964"/>
    <s v="Married"/>
    <x v="1"/>
    <n v="70000"/>
    <n v="1"/>
    <s v="Partial College"/>
    <x v="0"/>
    <s v="Yes"/>
    <n v="1"/>
    <s v="0-1 Miles"/>
    <x v="2"/>
    <n v="44"/>
    <s v="Middle Age"/>
    <s v="No"/>
    <n v="0"/>
    <x v="0"/>
    <x v="0"/>
    <s v="No"/>
  </r>
  <r>
    <n v="19133"/>
    <s v="Single"/>
    <x v="1"/>
    <n v="50000"/>
    <n v="2"/>
    <s v="Bachelors"/>
    <x v="0"/>
    <s v="Yes"/>
    <n v="1"/>
    <s v="2-5 Miles"/>
    <x v="2"/>
    <n v="38"/>
    <s v="Middle Age"/>
    <s v="Yes"/>
    <n v="0"/>
    <x v="0"/>
    <x v="0"/>
    <s v="Yes"/>
  </r>
  <r>
    <n v="24643"/>
    <s v="Single"/>
    <x v="0"/>
    <n v="60000"/>
    <n v="4"/>
    <s v="Bachelors"/>
    <x v="4"/>
    <s v="Yes"/>
    <n v="2"/>
    <s v="10+ Miles"/>
    <x v="2"/>
    <n v="63"/>
    <s v="Old"/>
    <s v="No"/>
    <n v="0"/>
    <x v="2"/>
    <x v="0"/>
    <s v="No"/>
  </r>
  <r>
    <n v="21599"/>
    <s v="Married"/>
    <x v="0"/>
    <n v="60000"/>
    <n v="1"/>
    <s v="Graduate Degree"/>
    <x v="2"/>
    <s v="Yes"/>
    <n v="0"/>
    <s v="2-5 Miles"/>
    <x v="2"/>
    <n v="36"/>
    <s v="Middle Age"/>
    <s v="Yes"/>
    <n v="0"/>
    <x v="0"/>
    <x v="0"/>
    <s v="Yes"/>
  </r>
  <r>
    <n v="22976"/>
    <s v="Single"/>
    <x v="1"/>
    <n v="40000"/>
    <n v="0"/>
    <s v="High School"/>
    <x v="0"/>
    <s v="No"/>
    <n v="2"/>
    <s v="0-1 Miles"/>
    <x v="2"/>
    <n v="28"/>
    <s v="Adolescent"/>
    <s v="Yes"/>
    <n v="0"/>
    <x v="3"/>
    <x v="0"/>
    <s v="Yes"/>
  </r>
  <r>
    <n v="27637"/>
    <s v="Single"/>
    <x v="0"/>
    <n v="100000"/>
    <n v="1"/>
    <s v="Partial College"/>
    <x v="2"/>
    <s v="No"/>
    <n v="3"/>
    <s v="1-2 Miles"/>
    <x v="2"/>
    <n v="44"/>
    <s v="Middle Age"/>
    <s v="No"/>
    <n v="0"/>
    <x v="0"/>
    <x v="1"/>
    <s v="No"/>
  </r>
  <r>
    <n v="11890"/>
    <s v="Married"/>
    <x v="0"/>
    <n v="70000"/>
    <n v="5"/>
    <s v="Graduate Degree"/>
    <x v="2"/>
    <s v="Yes"/>
    <n v="1"/>
    <s v="0-1 Miles"/>
    <x v="2"/>
    <n v="47"/>
    <s v="Middle Age"/>
    <s v="No"/>
    <n v="0"/>
    <x v="1"/>
    <x v="0"/>
    <s v="No"/>
  </r>
  <r>
    <n v="28580"/>
    <s v="Married"/>
    <x v="0"/>
    <n v="80000"/>
    <n v="0"/>
    <s v="Graduate Degree"/>
    <x v="0"/>
    <s v="Yes"/>
    <n v="0"/>
    <s v="1-2 Miles"/>
    <x v="2"/>
    <n v="40"/>
    <s v="Middle Age"/>
    <s v="Yes"/>
    <n v="0"/>
    <x v="0"/>
    <x v="1"/>
    <s v="Yes"/>
  </r>
  <r>
    <n v="14443"/>
    <s v="Married"/>
    <x v="1"/>
    <n v="130000"/>
    <n v="1"/>
    <s v="Graduate Degree"/>
    <x v="4"/>
    <s v="Yes"/>
    <n v="4"/>
    <s v="0-1 Miles"/>
    <x v="2"/>
    <n v="40"/>
    <s v="Middle Age"/>
    <s v="No"/>
    <n v="0"/>
    <x v="0"/>
    <x v="1"/>
    <s v="No"/>
  </r>
  <r>
    <n v="17864"/>
    <s v="Married"/>
    <x v="0"/>
    <n v="60000"/>
    <n v="1"/>
    <s v="Partial College"/>
    <x v="0"/>
    <s v="Yes"/>
    <n v="1"/>
    <s v="2-5 Miles"/>
    <x v="2"/>
    <n v="46"/>
    <s v="Middle Age"/>
    <s v="Yes"/>
    <n v="0"/>
    <x v="1"/>
    <x v="0"/>
    <s v="Yes"/>
  </r>
  <r>
    <n v="20505"/>
    <s v="Married"/>
    <x v="0"/>
    <n v="40000"/>
    <n v="5"/>
    <s v="High School"/>
    <x v="2"/>
    <s v="No"/>
    <n v="2"/>
    <s v="10+ Miles"/>
    <x v="2"/>
    <n v="61"/>
    <s v="Old"/>
    <s v="No"/>
    <n v="0"/>
    <x v="2"/>
    <x v="0"/>
    <s v="No"/>
  </r>
  <r>
    <n v="14592"/>
    <s v="Married"/>
    <x v="0"/>
    <n v="60000"/>
    <n v="0"/>
    <s v="Graduate Degree"/>
    <x v="2"/>
    <s v="Yes"/>
    <n v="0"/>
    <s v="0-1 Miles"/>
    <x v="2"/>
    <n v="40"/>
    <s v="Middle Age"/>
    <s v="No"/>
    <n v="0"/>
    <x v="0"/>
    <x v="0"/>
    <s v="No"/>
  </r>
  <r>
    <n v="22227"/>
    <s v="Married"/>
    <x v="0"/>
    <n v="60000"/>
    <n v="2"/>
    <s v="High School"/>
    <x v="2"/>
    <s v="Yes"/>
    <n v="2"/>
    <s v="5-10 Miles"/>
    <x v="2"/>
    <n v="50"/>
    <s v="Middle Age"/>
    <s v="No"/>
    <n v="0"/>
    <x v="1"/>
    <x v="0"/>
    <s v="No"/>
  </r>
  <r>
    <n v="21471"/>
    <s v="Married"/>
    <x v="1"/>
    <n v="70000"/>
    <n v="2"/>
    <s v="Partial College"/>
    <x v="2"/>
    <s v="Yes"/>
    <n v="1"/>
    <s v="10+ Miles"/>
    <x v="2"/>
    <n v="59"/>
    <s v="Old"/>
    <s v="No"/>
    <n v="0"/>
    <x v="1"/>
    <x v="0"/>
    <s v="No"/>
  </r>
  <r>
    <n v="22252"/>
    <s v="Single"/>
    <x v="0"/>
    <n v="60000"/>
    <n v="1"/>
    <s v="Graduate Degree"/>
    <x v="2"/>
    <s v="Yes"/>
    <n v="0"/>
    <s v="2-5 Miles"/>
    <x v="2"/>
    <n v="36"/>
    <s v="Middle Age"/>
    <s v="Yes"/>
    <n v="0"/>
    <x v="0"/>
    <x v="0"/>
    <s v="Yes"/>
  </r>
  <r>
    <n v="21260"/>
    <s v="Single"/>
    <x v="0"/>
    <n v="40000"/>
    <n v="0"/>
    <s v="High School"/>
    <x v="0"/>
    <s v="Yes"/>
    <n v="2"/>
    <s v="5-10 Miles"/>
    <x v="2"/>
    <n v="30"/>
    <s v="Adolescent"/>
    <s v="No"/>
    <n v="0"/>
    <x v="0"/>
    <x v="0"/>
    <s v="No"/>
  </r>
  <r>
    <n v="11817"/>
    <s v="Single"/>
    <x v="0"/>
    <n v="70000"/>
    <n v="4"/>
    <s v="Graduate Degree"/>
    <x v="2"/>
    <s v="Yes"/>
    <n v="0"/>
    <s v="2-5 Miles"/>
    <x v="2"/>
    <n v="35"/>
    <s v="Middle Age"/>
    <s v="Yes"/>
    <n v="0"/>
    <x v="0"/>
    <x v="0"/>
    <s v="Yes"/>
  </r>
  <r>
    <n v="19223"/>
    <s v="Married"/>
    <x v="0"/>
    <n v="30000"/>
    <n v="2"/>
    <s v="High School"/>
    <x v="0"/>
    <s v="Yes"/>
    <n v="2"/>
    <s v="1-2 Miles"/>
    <x v="2"/>
    <n v="48"/>
    <s v="Middle Age"/>
    <s v="No"/>
    <n v="0"/>
    <x v="1"/>
    <x v="0"/>
    <s v="No"/>
  </r>
  <r>
    <n v="18517"/>
    <s v="Married"/>
    <x v="1"/>
    <n v="100000"/>
    <n v="3"/>
    <s v="Bachelors"/>
    <x v="4"/>
    <s v="Yes"/>
    <n v="4"/>
    <s v="0-1 Miles"/>
    <x v="2"/>
    <n v="41"/>
    <s v="Middle Age"/>
    <s v="No"/>
    <n v="0"/>
    <x v="0"/>
    <x v="1"/>
    <s v="No"/>
  </r>
  <r>
    <n v="21717"/>
    <s v="Married"/>
    <x v="1"/>
    <n v="40000"/>
    <n v="2"/>
    <s v="Partial College"/>
    <x v="1"/>
    <s v="Yes"/>
    <n v="1"/>
    <s v="0-1 Miles"/>
    <x v="2"/>
    <n v="47"/>
    <s v="Middle Age"/>
    <s v="No"/>
    <n v="0"/>
    <x v="1"/>
    <x v="0"/>
    <s v="No"/>
  </r>
  <r>
    <n v="13760"/>
    <s v="Married"/>
    <x v="1"/>
    <n v="60000"/>
    <n v="4"/>
    <s v="Graduate Degree"/>
    <x v="0"/>
    <s v="No"/>
    <n v="0"/>
    <s v="0-1 Miles"/>
    <x v="2"/>
    <n v="47"/>
    <s v="Middle Age"/>
    <s v="No"/>
    <n v="0"/>
    <x v="1"/>
    <x v="0"/>
    <s v="No"/>
  </r>
  <r>
    <n v="18145"/>
    <s v="Married"/>
    <x v="1"/>
    <n v="80000"/>
    <n v="5"/>
    <s v="Bachelors"/>
    <x v="4"/>
    <s v="No"/>
    <n v="2"/>
    <s v="2-5 Miles"/>
    <x v="0"/>
    <n v="62"/>
    <s v="Old"/>
    <s v="No"/>
    <n v="0"/>
    <x v="2"/>
    <x v="1"/>
    <s v="No"/>
  </r>
  <r>
    <n v="21770"/>
    <s v="Married"/>
    <x v="1"/>
    <n v="60000"/>
    <n v="4"/>
    <s v="Bachelors"/>
    <x v="4"/>
    <s v="Yes"/>
    <n v="2"/>
    <s v="10+ Miles"/>
    <x v="2"/>
    <n v="60"/>
    <s v="Old"/>
    <s v="No"/>
    <n v="0"/>
    <x v="1"/>
    <x v="0"/>
    <s v="No"/>
  </r>
  <r>
    <n v="11165"/>
    <s v="Married"/>
    <x v="0"/>
    <n v="60000"/>
    <n v="0"/>
    <s v="Partial College"/>
    <x v="0"/>
    <s v="No"/>
    <n v="1"/>
    <s v="1-2 Miles"/>
    <x v="2"/>
    <n v="33"/>
    <s v="Middle Age"/>
    <s v="No"/>
    <n v="0"/>
    <x v="0"/>
    <x v="0"/>
    <s v="No"/>
  </r>
  <r>
    <n v="16377"/>
    <s v="Single"/>
    <x v="0"/>
    <n v="80000"/>
    <n v="4"/>
    <s v="Graduate Degree"/>
    <x v="0"/>
    <s v="No"/>
    <n v="0"/>
    <s v="0-1 Miles"/>
    <x v="2"/>
    <n v="47"/>
    <s v="Middle Age"/>
    <s v="No"/>
    <n v="0"/>
    <x v="1"/>
    <x v="1"/>
    <s v="No"/>
  </r>
  <r>
    <n v="26248"/>
    <s v="Married"/>
    <x v="1"/>
    <n v="20000"/>
    <n v="3"/>
    <s v="Partial High School"/>
    <x v="1"/>
    <s v="No"/>
    <n v="2"/>
    <s v="0-1 Miles"/>
    <x v="2"/>
    <n v="52"/>
    <s v="Middle Age"/>
    <s v="No"/>
    <n v="0"/>
    <x v="1"/>
    <x v="2"/>
    <s v="No"/>
  </r>
  <r>
    <n v="23461"/>
    <s v="Married"/>
    <x v="0"/>
    <n v="90000"/>
    <n v="5"/>
    <s v="Partial College"/>
    <x v="2"/>
    <s v="Yes"/>
    <n v="3"/>
    <s v="2-5 Miles"/>
    <x v="2"/>
    <n v="40"/>
    <s v="Middle Age"/>
    <s v="No"/>
    <n v="0"/>
    <x v="0"/>
    <x v="1"/>
    <s v="No"/>
  </r>
  <r>
    <n v="29133"/>
    <s v="Single"/>
    <x v="0"/>
    <n v="60000"/>
    <n v="4"/>
    <s v="Bachelors"/>
    <x v="0"/>
    <s v="No"/>
    <n v="2"/>
    <s v="0-1 Miles"/>
    <x v="2"/>
    <n v="42"/>
    <s v="Middle Age"/>
    <s v="No"/>
    <n v="0"/>
    <x v="0"/>
    <x v="0"/>
    <s v="No"/>
  </r>
  <r>
    <n v="27673"/>
    <s v="Single"/>
    <x v="0"/>
    <n v="60000"/>
    <n v="3"/>
    <s v="Graduate Degree"/>
    <x v="4"/>
    <s v="Yes"/>
    <n v="2"/>
    <s v="5-10 Miles"/>
    <x v="2"/>
    <n v="53"/>
    <s v="Middle Age"/>
    <s v="Yes"/>
    <n v="0"/>
    <x v="1"/>
    <x v="0"/>
    <s v="Yes"/>
  </r>
  <r>
    <n v="12774"/>
    <s v="Married"/>
    <x v="0"/>
    <n v="40000"/>
    <n v="1"/>
    <s v="Partial College"/>
    <x v="1"/>
    <s v="Yes"/>
    <n v="1"/>
    <s v="1-2 Miles"/>
    <x v="2"/>
    <n v="51"/>
    <s v="Middle Age"/>
    <s v="Yes"/>
    <n v="0"/>
    <x v="1"/>
    <x v="0"/>
    <s v="Yes"/>
  </r>
  <r>
    <n v="18910"/>
    <s v="Single"/>
    <x v="1"/>
    <n v="30000"/>
    <n v="0"/>
    <s v="Partial College"/>
    <x v="0"/>
    <s v="Yes"/>
    <n v="2"/>
    <s v="5-10 Miles"/>
    <x v="2"/>
    <n v="30"/>
    <s v="Adolescent"/>
    <s v="No"/>
    <n v="0"/>
    <x v="0"/>
    <x v="0"/>
    <s v="No"/>
  </r>
  <r>
    <n v="11699"/>
    <s v="Single"/>
    <x v="1"/>
    <n v="60000"/>
    <n v="0"/>
    <s v="Bachelors"/>
    <x v="0"/>
    <s v="No"/>
    <n v="2"/>
    <s v="0-1 Miles"/>
    <x v="2"/>
    <n v="30"/>
    <s v="Adolescent"/>
    <s v="No"/>
    <n v="0"/>
    <x v="0"/>
    <x v="0"/>
    <s v="No"/>
  </r>
  <r>
    <n v="16725"/>
    <s v="Married"/>
    <x v="1"/>
    <n v="30000"/>
    <n v="0"/>
    <s v="High School"/>
    <x v="0"/>
    <s v="Yes"/>
    <n v="2"/>
    <s v="5-10 Miles"/>
    <x v="2"/>
    <n v="26"/>
    <s v="Adolescent"/>
    <s v="No"/>
    <n v="0"/>
    <x v="3"/>
    <x v="0"/>
    <s v="No"/>
  </r>
  <r>
    <n v="28269"/>
    <s v="Single"/>
    <x v="0"/>
    <n v="130000"/>
    <n v="1"/>
    <s v="Bachelors"/>
    <x v="4"/>
    <s v="No"/>
    <n v="1"/>
    <s v="2-5 Miles"/>
    <x v="2"/>
    <n v="45"/>
    <s v="Middle Age"/>
    <s v="No"/>
    <n v="0"/>
    <x v="0"/>
    <x v="1"/>
    <s v="No"/>
  </r>
  <r>
    <n v="23144"/>
    <s v="Married"/>
    <x v="1"/>
    <n v="50000"/>
    <n v="1"/>
    <s v="Bachelors"/>
    <x v="0"/>
    <s v="Yes"/>
    <n v="0"/>
    <s v="0-1 Miles"/>
    <x v="2"/>
    <n v="34"/>
    <s v="Middle Age"/>
    <s v="Yes"/>
    <n v="0"/>
    <x v="0"/>
    <x v="0"/>
    <s v="Yes"/>
  </r>
  <r>
    <n v="23376"/>
    <s v="Married"/>
    <x v="1"/>
    <n v="70000"/>
    <n v="1"/>
    <s v="Bachelors"/>
    <x v="2"/>
    <s v="Yes"/>
    <n v="1"/>
    <s v="2-5 Miles"/>
    <x v="2"/>
    <n v="44"/>
    <s v="Middle Age"/>
    <s v="Yes"/>
    <n v="0"/>
    <x v="0"/>
    <x v="0"/>
    <s v="Yes"/>
  </r>
  <r>
    <n v="25970"/>
    <s v="Single"/>
    <x v="0"/>
    <n v="60000"/>
    <n v="4"/>
    <s v="Bachelors"/>
    <x v="0"/>
    <s v="No"/>
    <n v="2"/>
    <s v="0-1 Miles"/>
    <x v="2"/>
    <n v="41"/>
    <s v="Middle Age"/>
    <s v="Yes"/>
    <n v="0"/>
    <x v="0"/>
    <x v="0"/>
    <s v="Yes"/>
  </r>
  <r>
    <n v="28068"/>
    <s v="Single"/>
    <x v="0"/>
    <n v="80000"/>
    <n v="3"/>
    <s v="Graduate Degree"/>
    <x v="2"/>
    <s v="No"/>
    <n v="0"/>
    <s v="0-1 Miles"/>
    <x v="2"/>
    <n v="36"/>
    <s v="Middle Age"/>
    <s v="Yes"/>
    <n v="0"/>
    <x v="0"/>
    <x v="1"/>
    <s v="Yes"/>
  </r>
  <r>
    <n v="18390"/>
    <s v="Married"/>
    <x v="1"/>
    <n v="80000"/>
    <n v="5"/>
    <s v="Partial College"/>
    <x v="2"/>
    <s v="Yes"/>
    <n v="2"/>
    <s v="0-1 Miles"/>
    <x v="2"/>
    <n v="44"/>
    <s v="Middle Age"/>
    <s v="No"/>
    <n v="0"/>
    <x v="0"/>
    <x v="1"/>
    <s v="No"/>
  </r>
  <r>
    <n v="29112"/>
    <s v="Single"/>
    <x v="1"/>
    <n v="60000"/>
    <n v="0"/>
    <s v="Partial College"/>
    <x v="2"/>
    <s v="No"/>
    <n v="2"/>
    <s v="1-2 Miles"/>
    <x v="2"/>
    <n v="30"/>
    <s v="Adolescent"/>
    <s v="No"/>
    <n v="0"/>
    <x v="0"/>
    <x v="0"/>
    <s v="No"/>
  </r>
  <r>
    <n v="14090"/>
    <s v="Married"/>
    <x v="0"/>
    <n v="30000"/>
    <n v="0"/>
    <s v="Partial High School"/>
    <x v="1"/>
    <s v="No"/>
    <n v="2"/>
    <s v="0-1 Miles"/>
    <x v="2"/>
    <n v="28"/>
    <s v="Adolescent"/>
    <s v="No"/>
    <n v="0"/>
    <x v="3"/>
    <x v="0"/>
    <s v="No"/>
  </r>
  <r>
    <n v="27040"/>
    <s v="Married"/>
    <x v="1"/>
    <n v="20000"/>
    <n v="2"/>
    <s v="Partial High School"/>
    <x v="1"/>
    <s v="Yes"/>
    <n v="2"/>
    <s v="1-2 Miles"/>
    <x v="2"/>
    <n v="49"/>
    <s v="Middle Age"/>
    <s v="No"/>
    <n v="0"/>
    <x v="1"/>
    <x v="2"/>
    <s v="No"/>
  </r>
  <r>
    <n v="23479"/>
    <s v="Single"/>
    <x v="1"/>
    <n v="90000"/>
    <n v="0"/>
    <s v="Partial College"/>
    <x v="2"/>
    <s v="No"/>
    <n v="2"/>
    <s v="0-1 Miles"/>
    <x v="2"/>
    <n v="43"/>
    <s v="Middle Age"/>
    <s v="Yes"/>
    <n v="0"/>
    <x v="0"/>
    <x v="1"/>
    <s v="Yes"/>
  </r>
  <r>
    <n v="16795"/>
    <s v="Married"/>
    <x v="0"/>
    <n v="70000"/>
    <n v="4"/>
    <s v="Bachelors"/>
    <x v="4"/>
    <s v="Yes"/>
    <n v="1"/>
    <s v="1-2 Miles"/>
    <x v="2"/>
    <n v="59"/>
    <s v="Old"/>
    <s v="No"/>
    <n v="0"/>
    <x v="1"/>
    <x v="0"/>
    <s v="No"/>
  </r>
  <r>
    <n v="22014"/>
    <s v="Single"/>
    <x v="1"/>
    <n v="30000"/>
    <n v="0"/>
    <s v="High School"/>
    <x v="0"/>
    <s v="Yes"/>
    <n v="2"/>
    <s v="5-10 Miles"/>
    <x v="2"/>
    <n v="26"/>
    <s v="Adolescent"/>
    <s v="No"/>
    <n v="0"/>
    <x v="3"/>
    <x v="0"/>
    <s v="No"/>
  </r>
  <r>
    <n v="13314"/>
    <s v="Married"/>
    <x v="1"/>
    <n v="120000"/>
    <n v="1"/>
    <s v="High School"/>
    <x v="2"/>
    <s v="Yes"/>
    <n v="4"/>
    <s v="5-10 Miles"/>
    <x v="2"/>
    <n v="46"/>
    <s v="Middle Age"/>
    <s v="Yes"/>
    <n v="0"/>
    <x v="1"/>
    <x v="1"/>
    <s v="Yes"/>
  </r>
  <r>
    <n v="11619"/>
    <s v="Single"/>
    <x v="0"/>
    <n v="50000"/>
    <n v="0"/>
    <s v="Graduate Degree"/>
    <x v="0"/>
    <s v="Yes"/>
    <n v="0"/>
    <s v="1-2 Miles"/>
    <x v="2"/>
    <n v="33"/>
    <s v="Middle Age"/>
    <s v="No"/>
    <n v="0"/>
    <x v="0"/>
    <x v="0"/>
    <s v="No"/>
  </r>
  <r>
    <n v="29132"/>
    <s v="Single"/>
    <x v="0"/>
    <n v="40000"/>
    <n v="0"/>
    <s v="Bachelors"/>
    <x v="2"/>
    <s v="Yes"/>
    <n v="1"/>
    <s v="2-5 Miles"/>
    <x v="2"/>
    <n v="42"/>
    <s v="Middle Age"/>
    <s v="Yes"/>
    <n v="0"/>
    <x v="0"/>
    <x v="0"/>
    <s v="Yes"/>
  </r>
  <r>
    <n v="11199"/>
    <s v="Married"/>
    <x v="0"/>
    <n v="70000"/>
    <n v="4"/>
    <s v="Bachelors"/>
    <x v="4"/>
    <s v="Yes"/>
    <n v="1"/>
    <s v="10+ Miles"/>
    <x v="2"/>
    <n v="59"/>
    <s v="Old"/>
    <s v="No"/>
    <n v="0"/>
    <x v="1"/>
    <x v="0"/>
    <s v="No"/>
  </r>
  <r>
    <n v="20296"/>
    <s v="Single"/>
    <x v="0"/>
    <n v="60000"/>
    <n v="0"/>
    <s v="Partial College"/>
    <x v="0"/>
    <s v="No"/>
    <n v="1"/>
    <s v="1-2 Miles"/>
    <x v="2"/>
    <n v="33"/>
    <s v="Middle Age"/>
    <s v="Yes"/>
    <n v="0"/>
    <x v="0"/>
    <x v="0"/>
    <s v="Yes"/>
  </r>
  <r>
    <n v="17546"/>
    <s v="Married"/>
    <x v="0"/>
    <n v="70000"/>
    <n v="1"/>
    <s v="Partial College"/>
    <x v="0"/>
    <s v="Yes"/>
    <n v="1"/>
    <s v="0-1 Miles"/>
    <x v="2"/>
    <n v="44"/>
    <s v="Middle Age"/>
    <s v="Yes"/>
    <n v="0"/>
    <x v="0"/>
    <x v="0"/>
    <s v="Yes"/>
  </r>
  <r>
    <n v="18069"/>
    <s v="Married"/>
    <x v="1"/>
    <n v="70000"/>
    <n v="5"/>
    <s v="Bachelors"/>
    <x v="4"/>
    <s v="Yes"/>
    <n v="4"/>
    <s v="10+ Miles"/>
    <x v="2"/>
    <n v="60"/>
    <s v="Old"/>
    <s v="No"/>
    <n v="0"/>
    <x v="1"/>
    <x v="0"/>
    <s v="No"/>
  </r>
  <r>
    <n v="23712"/>
    <s v="Single"/>
    <x v="0"/>
    <n v="70000"/>
    <n v="2"/>
    <s v="Bachelors"/>
    <x v="4"/>
    <s v="Yes"/>
    <n v="1"/>
    <s v="10+ Miles"/>
    <x v="2"/>
    <n v="59"/>
    <s v="Old"/>
    <s v="No"/>
    <n v="0"/>
    <x v="1"/>
    <x v="0"/>
    <s v="No"/>
  </r>
  <r>
    <n v="23358"/>
    <s v="Married"/>
    <x v="1"/>
    <n v="60000"/>
    <n v="0"/>
    <s v="High School"/>
    <x v="2"/>
    <s v="Yes"/>
    <n v="2"/>
    <s v="5-10 Miles"/>
    <x v="2"/>
    <n v="32"/>
    <s v="Middle Age"/>
    <s v="Yes"/>
    <n v="0"/>
    <x v="0"/>
    <x v="0"/>
    <s v="Yes"/>
  </r>
  <r>
    <n v="20518"/>
    <s v="Married"/>
    <x v="0"/>
    <n v="70000"/>
    <n v="2"/>
    <s v="Partial College"/>
    <x v="2"/>
    <s v="Yes"/>
    <n v="1"/>
    <s v="10+ Miles"/>
    <x v="2"/>
    <n v="58"/>
    <s v="Old"/>
    <s v="No"/>
    <n v="0"/>
    <x v="1"/>
    <x v="0"/>
    <s v="No"/>
  </r>
  <r>
    <n v="28026"/>
    <s v="Married"/>
    <x v="0"/>
    <n v="40000"/>
    <n v="2"/>
    <s v="High School"/>
    <x v="2"/>
    <s v="No"/>
    <n v="2"/>
    <s v="2-5 Miles"/>
    <x v="2"/>
    <n v="59"/>
    <s v="Old"/>
    <s v="No"/>
    <n v="0"/>
    <x v="1"/>
    <x v="0"/>
    <s v="No"/>
  </r>
  <r>
    <n v="11669"/>
    <s v="Single"/>
    <x v="0"/>
    <n v="70000"/>
    <n v="2"/>
    <s v="Bachelors"/>
    <x v="0"/>
    <s v="Yes"/>
    <n v="1"/>
    <s v="2-5 Miles"/>
    <x v="2"/>
    <n v="38"/>
    <s v="Middle Age"/>
    <s v="No"/>
    <n v="0"/>
    <x v="0"/>
    <x v="0"/>
    <s v="No"/>
  </r>
  <r>
    <n v="16020"/>
    <s v="Married"/>
    <x v="1"/>
    <n v="40000"/>
    <n v="0"/>
    <s v="High School"/>
    <x v="0"/>
    <s v="Yes"/>
    <n v="2"/>
    <s v="5-10 Miles"/>
    <x v="2"/>
    <n v="28"/>
    <s v="Adolescent"/>
    <s v="Yes"/>
    <n v="0"/>
    <x v="3"/>
    <x v="0"/>
    <s v="Yes"/>
  </r>
  <r>
    <n v="27090"/>
    <s v="Married"/>
    <x v="0"/>
    <n v="60000"/>
    <n v="1"/>
    <s v="Graduate Degree"/>
    <x v="2"/>
    <s v="Yes"/>
    <n v="0"/>
    <s v="2-5 Miles"/>
    <x v="2"/>
    <n v="37"/>
    <s v="Middle Age"/>
    <s v="Yes"/>
    <n v="0"/>
    <x v="0"/>
    <x v="0"/>
    <s v="Yes"/>
  </r>
  <r>
    <n v="27198"/>
    <s v="Single"/>
    <x v="0"/>
    <n v="80000"/>
    <n v="0"/>
    <s v="Graduate Degree"/>
    <x v="0"/>
    <s v="No"/>
    <n v="0"/>
    <s v="0-1 Miles"/>
    <x v="2"/>
    <n v="40"/>
    <s v="Middle Age"/>
    <s v="No"/>
    <n v="0"/>
    <x v="0"/>
    <x v="1"/>
    <s v="No"/>
  </r>
  <r>
    <n v="19661"/>
    <s v="Single"/>
    <x v="1"/>
    <n v="90000"/>
    <n v="4"/>
    <s v="Bachelors"/>
    <x v="4"/>
    <s v="Yes"/>
    <n v="1"/>
    <s v="1-2 Miles"/>
    <x v="2"/>
    <n v="38"/>
    <s v="Middle Age"/>
    <s v="Yes"/>
    <n v="0"/>
    <x v="0"/>
    <x v="1"/>
    <s v="Yes"/>
  </r>
  <r>
    <n v="26327"/>
    <s v="Married"/>
    <x v="1"/>
    <n v="70000"/>
    <n v="4"/>
    <s v="Graduate Degree"/>
    <x v="2"/>
    <s v="Yes"/>
    <n v="0"/>
    <s v="2-5 Miles"/>
    <x v="2"/>
    <n v="36"/>
    <s v="Middle Age"/>
    <s v="Yes"/>
    <n v="0"/>
    <x v="0"/>
    <x v="0"/>
    <s v="Yes"/>
  </r>
  <r>
    <n v="26341"/>
    <s v="Married"/>
    <x v="0"/>
    <n v="70000"/>
    <n v="5"/>
    <s v="Graduate Degree"/>
    <x v="2"/>
    <s v="Yes"/>
    <n v="2"/>
    <s v="0-1 Miles"/>
    <x v="2"/>
    <n v="37"/>
    <s v="Middle Age"/>
    <s v="No"/>
    <n v="0"/>
    <x v="0"/>
    <x v="0"/>
    <s v="No"/>
  </r>
  <r>
    <n v="24958"/>
    <s v="Single"/>
    <x v="0"/>
    <n v="40000"/>
    <n v="5"/>
    <s v="High School"/>
    <x v="2"/>
    <s v="No"/>
    <n v="3"/>
    <s v="2-5 Miles"/>
    <x v="2"/>
    <n v="60"/>
    <s v="Old"/>
    <s v="Yes"/>
    <n v="0"/>
    <x v="1"/>
    <x v="0"/>
    <s v="Yes"/>
  </r>
  <r>
    <n v="13287"/>
    <s v="Single"/>
    <x v="1"/>
    <n v="110000"/>
    <n v="4"/>
    <s v="Bachelors"/>
    <x v="4"/>
    <s v="Yes"/>
    <n v="4"/>
    <s v="5-10 Miles"/>
    <x v="2"/>
    <n v="42"/>
    <s v="Middle Age"/>
    <s v="Yes"/>
    <n v="0"/>
    <x v="0"/>
    <x v="1"/>
    <s v="Yes"/>
  </r>
  <r>
    <n v="14493"/>
    <s v="Single"/>
    <x v="0"/>
    <n v="70000"/>
    <n v="3"/>
    <s v="Graduate Degree"/>
    <x v="4"/>
    <s v="No"/>
    <n v="2"/>
    <s v="1-2 Miles"/>
    <x v="2"/>
    <n v="53"/>
    <s v="Middle Age"/>
    <s v="No"/>
    <n v="0"/>
    <x v="1"/>
    <x v="0"/>
    <s v="No"/>
  </r>
  <r>
    <n v="26678"/>
    <s v="Single"/>
    <x v="0"/>
    <n v="80000"/>
    <n v="2"/>
    <s v="Partial High School"/>
    <x v="0"/>
    <s v="Yes"/>
    <n v="2"/>
    <s v="5-10 Miles"/>
    <x v="2"/>
    <n v="49"/>
    <s v="Middle Age"/>
    <s v="No"/>
    <n v="0"/>
    <x v="1"/>
    <x v="1"/>
    <s v="No"/>
  </r>
  <r>
    <n v="23275"/>
    <s v="Married"/>
    <x v="1"/>
    <n v="30000"/>
    <n v="2"/>
    <s v="High School"/>
    <x v="0"/>
    <s v="Yes"/>
    <n v="2"/>
    <s v="1-2 Miles"/>
    <x v="2"/>
    <n v="49"/>
    <s v="Middle Age"/>
    <s v="No"/>
    <n v="0"/>
    <x v="1"/>
    <x v="0"/>
    <s v="No"/>
  </r>
  <r>
    <n v="11270"/>
    <s v="Married"/>
    <x v="1"/>
    <n v="130000"/>
    <n v="2"/>
    <s v="Graduate Degree"/>
    <x v="4"/>
    <s v="Yes"/>
    <n v="3"/>
    <s v="0-1 Miles"/>
    <x v="2"/>
    <n v="42"/>
    <s v="Middle Age"/>
    <s v="Yes"/>
    <n v="0"/>
    <x v="0"/>
    <x v="1"/>
    <s v="Yes"/>
  </r>
  <r>
    <n v="20084"/>
    <s v="Married"/>
    <x v="1"/>
    <n v="20000"/>
    <n v="2"/>
    <s v="High School"/>
    <x v="3"/>
    <s v="No"/>
    <n v="2"/>
    <s v="0-1 Miles"/>
    <x v="2"/>
    <n v="53"/>
    <s v="Middle Age"/>
    <s v="No"/>
    <n v="0"/>
    <x v="1"/>
    <x v="2"/>
    <s v="No"/>
  </r>
  <r>
    <n v="16144"/>
    <s v="Married"/>
    <x v="1"/>
    <n v="70000"/>
    <n v="1"/>
    <s v="Graduate Degree"/>
    <x v="2"/>
    <s v="Yes"/>
    <n v="1"/>
    <s v="0-1 Miles"/>
    <x v="2"/>
    <n v="46"/>
    <s v="Middle Age"/>
    <s v="Yes"/>
    <n v="0"/>
    <x v="1"/>
    <x v="0"/>
    <s v="Yes"/>
  </r>
  <r>
    <n v="27731"/>
    <s v="Married"/>
    <x v="1"/>
    <n v="40000"/>
    <n v="0"/>
    <s v="High School"/>
    <x v="0"/>
    <s v="Yes"/>
    <n v="2"/>
    <s v="5-10 Miles"/>
    <x v="2"/>
    <n v="27"/>
    <s v="Adolescent"/>
    <s v="No"/>
    <n v="0"/>
    <x v="3"/>
    <x v="0"/>
    <s v="No"/>
  </r>
  <r>
    <n v="11886"/>
    <s v="Married"/>
    <x v="0"/>
    <n v="60000"/>
    <n v="3"/>
    <s v="Bachelors"/>
    <x v="2"/>
    <s v="Yes"/>
    <n v="1"/>
    <s v="0-1 Miles"/>
    <x v="2"/>
    <n v="48"/>
    <s v="Middle Age"/>
    <s v="Yes"/>
    <n v="0"/>
    <x v="1"/>
    <x v="0"/>
    <s v="Yes"/>
  </r>
  <r>
    <n v="24324"/>
    <s v="Single"/>
    <x v="0"/>
    <n v="60000"/>
    <n v="4"/>
    <s v="Bachelors"/>
    <x v="0"/>
    <s v="Yes"/>
    <n v="2"/>
    <s v="2-5 Miles"/>
    <x v="2"/>
    <n v="41"/>
    <s v="Middle Age"/>
    <s v="Yes"/>
    <n v="0"/>
    <x v="0"/>
    <x v="0"/>
    <s v="Yes"/>
  </r>
  <r>
    <n v="22220"/>
    <s v="Married"/>
    <x v="1"/>
    <n v="60000"/>
    <n v="2"/>
    <s v="High School"/>
    <x v="2"/>
    <s v="No"/>
    <n v="2"/>
    <s v="1-2 Miles"/>
    <x v="2"/>
    <n v="49"/>
    <s v="Middle Age"/>
    <s v="Yes"/>
    <n v="0"/>
    <x v="1"/>
    <x v="0"/>
    <s v="Yes"/>
  </r>
  <r>
    <n v="26625"/>
    <s v="Single"/>
    <x v="0"/>
    <n v="60000"/>
    <n v="0"/>
    <s v="Graduate Degree"/>
    <x v="2"/>
    <s v="Yes"/>
    <n v="1"/>
    <s v="2-5 Miles"/>
    <x v="2"/>
    <n v="38"/>
    <s v="Middle Age"/>
    <s v="Yes"/>
    <n v="0"/>
    <x v="0"/>
    <x v="0"/>
    <s v="Yes"/>
  </r>
  <r>
    <n v="23027"/>
    <s v="Single"/>
    <x v="1"/>
    <n v="130000"/>
    <n v="1"/>
    <s v="Bachelors"/>
    <x v="4"/>
    <s v="No"/>
    <n v="4"/>
    <s v="0-1 Miles"/>
    <x v="2"/>
    <n v="44"/>
    <s v="Middle Age"/>
    <s v="No"/>
    <n v="0"/>
    <x v="0"/>
    <x v="1"/>
    <s v="No"/>
  </r>
  <r>
    <n v="16867"/>
    <s v="Single"/>
    <x v="0"/>
    <n v="130000"/>
    <n v="1"/>
    <s v="Bachelors"/>
    <x v="4"/>
    <s v="No"/>
    <n v="3"/>
    <s v="0-1 Miles"/>
    <x v="2"/>
    <n v="45"/>
    <s v="Middle Age"/>
    <s v="Yes"/>
    <n v="0"/>
    <x v="0"/>
    <x v="1"/>
    <s v="Yes"/>
  </r>
  <r>
    <n v="14514"/>
    <s v="Single"/>
    <x v="0"/>
    <n v="30000"/>
    <n v="0"/>
    <s v="Partial College"/>
    <x v="0"/>
    <s v="Yes"/>
    <n v="1"/>
    <s v="5-10 Miles"/>
    <x v="2"/>
    <n v="26"/>
    <s v="Adolescent"/>
    <s v="No"/>
    <n v="0"/>
    <x v="3"/>
    <x v="0"/>
    <s v="No"/>
  </r>
  <r>
    <n v="19634"/>
    <s v="Married"/>
    <x v="1"/>
    <n v="40000"/>
    <n v="0"/>
    <s v="High School"/>
    <x v="0"/>
    <s v="Yes"/>
    <n v="1"/>
    <s v="5-10 Miles"/>
    <x v="2"/>
    <n v="31"/>
    <s v="Middle Age"/>
    <s v="No"/>
    <n v="0"/>
    <x v="0"/>
    <x v="0"/>
    <s v="No"/>
  </r>
  <r>
    <n v="18504"/>
    <s v="Married"/>
    <x v="1"/>
    <n v="70000"/>
    <n v="2"/>
    <s v="Partial High School"/>
    <x v="0"/>
    <s v="No"/>
    <n v="2"/>
    <s v="1-2 Miles"/>
    <x v="2"/>
    <n v="49"/>
    <s v="Middle Age"/>
    <s v="No"/>
    <n v="0"/>
    <x v="1"/>
    <x v="0"/>
    <s v="No"/>
  </r>
  <r>
    <n v="28799"/>
    <s v="Single"/>
    <x v="0"/>
    <n v="40000"/>
    <n v="2"/>
    <s v="Partial College"/>
    <x v="1"/>
    <s v="No"/>
    <n v="1"/>
    <s v="1-2 Miles"/>
    <x v="2"/>
    <n v="47"/>
    <s v="Middle Age"/>
    <s v="Yes"/>
    <n v="0"/>
    <x v="1"/>
    <x v="0"/>
    <s v="Yes"/>
  </r>
  <r>
    <n v="11225"/>
    <s v="Married"/>
    <x v="0"/>
    <n v="60000"/>
    <n v="2"/>
    <s v="Partial College"/>
    <x v="2"/>
    <s v="Yes"/>
    <n v="1"/>
    <s v="10+ Miles"/>
    <x v="2"/>
    <n v="55"/>
    <s v="Old"/>
    <s v="No"/>
    <n v="0"/>
    <x v="1"/>
    <x v="0"/>
    <s v="No"/>
  </r>
  <r>
    <n v="17657"/>
    <s v="Married"/>
    <x v="1"/>
    <n v="40000"/>
    <n v="4"/>
    <s v="Partial College"/>
    <x v="1"/>
    <s v="No"/>
    <n v="0"/>
    <s v="0-1 Miles"/>
    <x v="2"/>
    <n v="30"/>
    <s v="Adolescent"/>
    <s v="No"/>
    <n v="0"/>
    <x v="0"/>
    <x v="0"/>
    <s v="No"/>
  </r>
  <r>
    <n v="14913"/>
    <s v="Married"/>
    <x v="0"/>
    <n v="40000"/>
    <n v="1"/>
    <s v="Partial College"/>
    <x v="1"/>
    <s v="Yes"/>
    <n v="1"/>
    <s v="1-2 Miles"/>
    <x v="2"/>
    <n v="48"/>
    <s v="Middle Age"/>
    <s v="Yes"/>
    <n v="0"/>
    <x v="1"/>
    <x v="0"/>
    <s v="Yes"/>
  </r>
  <r>
    <n v="14077"/>
    <s v="Single"/>
    <x v="1"/>
    <n v="30000"/>
    <n v="0"/>
    <s v="High School"/>
    <x v="0"/>
    <s v="Yes"/>
    <n v="2"/>
    <s v="5-10 Miles"/>
    <x v="2"/>
    <n v="30"/>
    <s v="Adolescent"/>
    <s v="No"/>
    <n v="0"/>
    <x v="0"/>
    <x v="0"/>
    <s v="No"/>
  </r>
  <r>
    <n v="13296"/>
    <s v="Married"/>
    <x v="1"/>
    <n v="110000"/>
    <n v="1"/>
    <s v="Bachelors"/>
    <x v="4"/>
    <s v="Yes"/>
    <n v="3"/>
    <s v="5-10 Miles"/>
    <x v="2"/>
    <n v="45"/>
    <s v="Middle Age"/>
    <s v="No"/>
    <n v="0"/>
    <x v="0"/>
    <x v="1"/>
    <s v="No"/>
  </r>
  <r>
    <n v="20535"/>
    <s v="Married"/>
    <x v="0"/>
    <n v="70000"/>
    <n v="4"/>
    <s v="Partial College"/>
    <x v="2"/>
    <s v="Yes"/>
    <n v="1"/>
    <s v="10+ Miles"/>
    <x v="2"/>
    <n v="56"/>
    <s v="Old"/>
    <s v="No"/>
    <n v="0"/>
    <x v="1"/>
    <x v="0"/>
    <s v="No"/>
  </r>
  <r>
    <n v="12452"/>
    <s v="Married"/>
    <x v="1"/>
    <n v="60000"/>
    <n v="4"/>
    <s v="Graduate Degree"/>
    <x v="0"/>
    <s v="Yes"/>
    <n v="0"/>
    <s v="1-2 Miles"/>
    <x v="2"/>
    <n v="47"/>
    <s v="Middle Age"/>
    <s v="Yes"/>
    <n v="0"/>
    <x v="1"/>
    <x v="0"/>
    <s v="Yes"/>
  </r>
  <r>
    <n v="28043"/>
    <s v="Married"/>
    <x v="0"/>
    <n v="60000"/>
    <n v="2"/>
    <s v="Bachelors"/>
    <x v="4"/>
    <s v="Yes"/>
    <n v="0"/>
    <s v="10+ Miles"/>
    <x v="2"/>
    <n v="56"/>
    <s v="Old"/>
    <s v="No"/>
    <n v="0"/>
    <x v="1"/>
    <x v="0"/>
    <s v="No"/>
  </r>
  <r>
    <n v="12957"/>
    <s v="Single"/>
    <x v="0"/>
    <n v="70000"/>
    <n v="1"/>
    <s v="Bachelors"/>
    <x v="2"/>
    <s v="No"/>
    <n v="1"/>
    <s v="0-1 Miles"/>
    <x v="2"/>
    <n v="44"/>
    <s v="Middle Age"/>
    <s v="No"/>
    <n v="0"/>
    <x v="0"/>
    <x v="0"/>
    <s v="No"/>
  </r>
  <r>
    <n v="15412"/>
    <s v="Married"/>
    <x v="1"/>
    <n v="130000"/>
    <n v="2"/>
    <s v="Graduate Degree"/>
    <x v="4"/>
    <s v="Yes"/>
    <n v="3"/>
    <s v="2-5 Miles"/>
    <x v="2"/>
    <n v="69"/>
    <s v="Old"/>
    <s v="No"/>
    <n v="0"/>
    <x v="2"/>
    <x v="1"/>
    <s v="No"/>
  </r>
  <r>
    <n v="20514"/>
    <s v="Married"/>
    <x v="0"/>
    <n v="70000"/>
    <n v="2"/>
    <s v="Partial College"/>
    <x v="2"/>
    <s v="Yes"/>
    <n v="1"/>
    <s v="2-5 Miles"/>
    <x v="2"/>
    <n v="59"/>
    <s v="Old"/>
    <s v="No"/>
    <n v="0"/>
    <x v="1"/>
    <x v="0"/>
    <s v="No"/>
  </r>
  <r>
    <n v="20758"/>
    <s v="Married"/>
    <x v="1"/>
    <n v="30000"/>
    <n v="2"/>
    <s v="High School"/>
    <x v="0"/>
    <s v="Yes"/>
    <n v="2"/>
    <s v="1-2 Miles"/>
    <x v="2"/>
    <n v="50"/>
    <s v="Middle Age"/>
    <s v="No"/>
    <n v="0"/>
    <x v="1"/>
    <x v="0"/>
    <s v="No"/>
  </r>
  <r>
    <n v="11801"/>
    <s v="Married"/>
    <x v="1"/>
    <n v="60000"/>
    <n v="1"/>
    <s v="Graduate Degree"/>
    <x v="2"/>
    <s v="Yes"/>
    <n v="0"/>
    <s v="2-5 Miles"/>
    <x v="2"/>
    <n v="36"/>
    <s v="Middle Age"/>
    <s v="No"/>
    <n v="0"/>
    <x v="0"/>
    <x v="0"/>
    <s v="No"/>
  </r>
  <r>
    <n v="22211"/>
    <s v="Married"/>
    <x v="1"/>
    <n v="60000"/>
    <n v="0"/>
    <s v="Partial College"/>
    <x v="2"/>
    <s v="Yes"/>
    <n v="2"/>
    <s v="5-10 Miles"/>
    <x v="2"/>
    <n v="32"/>
    <s v="Middle Age"/>
    <s v="No"/>
    <n v="0"/>
    <x v="0"/>
    <x v="0"/>
    <s v="No"/>
  </r>
  <r>
    <n v="28087"/>
    <s v="Single"/>
    <x v="0"/>
    <n v="40000"/>
    <n v="0"/>
    <s v="Partial College"/>
    <x v="0"/>
    <s v="No"/>
    <n v="1"/>
    <s v="1-2 Miles"/>
    <x v="2"/>
    <n v="27"/>
    <s v="Adolescent"/>
    <s v="No"/>
    <n v="0"/>
    <x v="3"/>
    <x v="0"/>
    <s v="No"/>
  </r>
  <r>
    <n v="23668"/>
    <s v="Married"/>
    <x v="0"/>
    <n v="40000"/>
    <n v="4"/>
    <s v="High School"/>
    <x v="2"/>
    <s v="Yes"/>
    <n v="2"/>
    <s v="5-10 Miles"/>
    <x v="2"/>
    <n v="59"/>
    <s v="Old"/>
    <s v="Yes"/>
    <n v="0"/>
    <x v="1"/>
    <x v="0"/>
    <s v="Yes"/>
  </r>
  <r>
    <n v="27441"/>
    <s v="Married"/>
    <x v="1"/>
    <n v="60000"/>
    <n v="3"/>
    <s v="High School"/>
    <x v="2"/>
    <s v="No"/>
    <n v="2"/>
    <s v="2-5 Miles"/>
    <x v="2"/>
    <n v="53"/>
    <s v="Middle Age"/>
    <s v="No"/>
    <n v="0"/>
    <x v="1"/>
    <x v="0"/>
    <s v="No"/>
  </r>
  <r>
    <n v="27261"/>
    <s v="Married"/>
    <x v="1"/>
    <n v="40000"/>
    <n v="1"/>
    <s v="Bachelors"/>
    <x v="0"/>
    <s v="No"/>
    <n v="1"/>
    <s v="0-1 Miles"/>
    <x v="2"/>
    <n v="36"/>
    <s v="Middle Age"/>
    <s v="Yes"/>
    <n v="0"/>
    <x v="0"/>
    <x v="0"/>
    <s v="Yes"/>
  </r>
  <r>
    <n v="18649"/>
    <s v="Single"/>
    <x v="1"/>
    <n v="30000"/>
    <n v="1"/>
    <s v="High School"/>
    <x v="1"/>
    <s v="Yes"/>
    <n v="2"/>
    <s v="1-2 Miles"/>
    <x v="2"/>
    <n v="51"/>
    <s v="Middle Age"/>
    <s v="Yes"/>
    <n v="0"/>
    <x v="1"/>
    <x v="0"/>
    <s v="Yes"/>
  </r>
  <r>
    <n v="21714"/>
    <s v="Single"/>
    <x v="0"/>
    <n v="80000"/>
    <n v="5"/>
    <s v="Graduate Degree"/>
    <x v="0"/>
    <s v="No"/>
    <n v="0"/>
    <s v="0-1 Miles"/>
    <x v="2"/>
    <n v="47"/>
    <s v="Middle Age"/>
    <s v="No"/>
    <n v="0"/>
    <x v="1"/>
    <x v="1"/>
    <s v="No"/>
  </r>
  <r>
    <n v="23217"/>
    <s v="Single"/>
    <x v="0"/>
    <n v="60000"/>
    <n v="3"/>
    <s v="Graduate Degree"/>
    <x v="2"/>
    <s v="Yes"/>
    <n v="0"/>
    <s v="2-5 Miles"/>
    <x v="2"/>
    <n v="43"/>
    <s v="Middle Age"/>
    <s v="Yes"/>
    <n v="0"/>
    <x v="0"/>
    <x v="0"/>
    <s v="Yes"/>
  </r>
  <r>
    <n v="23797"/>
    <s v="Single"/>
    <x v="1"/>
    <n v="20000"/>
    <n v="3"/>
    <s v="Partial High School"/>
    <x v="1"/>
    <s v="No"/>
    <n v="2"/>
    <s v="0-1 Miles"/>
    <x v="2"/>
    <n v="50"/>
    <s v="Middle Age"/>
    <s v="No"/>
    <n v="0"/>
    <x v="1"/>
    <x v="2"/>
    <s v="No"/>
  </r>
  <r>
    <n v="13216"/>
    <s v="Married"/>
    <x v="0"/>
    <n v="60000"/>
    <n v="5"/>
    <s v="Bachelors"/>
    <x v="4"/>
    <s v="Yes"/>
    <n v="3"/>
    <s v="10+ Miles"/>
    <x v="2"/>
    <n v="59"/>
    <s v="Old"/>
    <s v="No"/>
    <n v="0"/>
    <x v="1"/>
    <x v="0"/>
    <s v="No"/>
  </r>
  <r>
    <n v="20657"/>
    <s v="Single"/>
    <x v="1"/>
    <n v="50000"/>
    <n v="2"/>
    <s v="Bachelors"/>
    <x v="0"/>
    <s v="Yes"/>
    <n v="0"/>
    <s v="2-5 Miles"/>
    <x v="2"/>
    <n v="37"/>
    <s v="Middle Age"/>
    <s v="Yes"/>
    <n v="0"/>
    <x v="0"/>
    <x v="0"/>
    <s v="Yes"/>
  </r>
  <r>
    <n v="12882"/>
    <s v="Married"/>
    <x v="1"/>
    <n v="50000"/>
    <n v="1"/>
    <s v="Graduate Degree"/>
    <x v="0"/>
    <s v="Yes"/>
    <n v="0"/>
    <s v="0-1 Miles"/>
    <x v="2"/>
    <n v="33"/>
    <s v="Middle Age"/>
    <s v="Yes"/>
    <n v="0"/>
    <x v="0"/>
    <x v="0"/>
    <s v="Yes"/>
  </r>
  <r>
    <n v="25908"/>
    <s v="Married"/>
    <x v="0"/>
    <n v="60000"/>
    <n v="0"/>
    <s v="Partial College"/>
    <x v="0"/>
    <s v="No"/>
    <n v="1"/>
    <s v="1-2 Miles"/>
    <x v="2"/>
    <n v="27"/>
    <s v="Adolescent"/>
    <s v="No"/>
    <n v="0"/>
    <x v="3"/>
    <x v="0"/>
    <s v="No"/>
  </r>
  <r>
    <n v="16753"/>
    <s v="Single"/>
    <x v="0"/>
    <n v="70000"/>
    <n v="0"/>
    <s v="Partial College"/>
    <x v="0"/>
    <s v="Yes"/>
    <n v="2"/>
    <s v="5-10 Miles"/>
    <x v="2"/>
    <n v="34"/>
    <s v="Middle Age"/>
    <s v="Yes"/>
    <n v="0"/>
    <x v="0"/>
    <x v="0"/>
    <s v="Yes"/>
  </r>
  <r>
    <n v="14608"/>
    <s v="Married"/>
    <x v="1"/>
    <n v="50000"/>
    <n v="4"/>
    <s v="Bachelors"/>
    <x v="0"/>
    <s v="Yes"/>
    <n v="3"/>
    <s v="10+ Miles"/>
    <x v="2"/>
    <n v="42"/>
    <s v="Middle Age"/>
    <s v="No"/>
    <n v="0"/>
    <x v="0"/>
    <x v="0"/>
    <s v="No"/>
  </r>
  <r>
    <n v="24979"/>
    <s v="Married"/>
    <x v="0"/>
    <n v="60000"/>
    <n v="2"/>
    <s v="Partial College"/>
    <x v="2"/>
    <s v="Yes"/>
    <n v="2"/>
    <s v="2-5 Miles"/>
    <x v="2"/>
    <n v="57"/>
    <s v="Old"/>
    <s v="Yes"/>
    <n v="0"/>
    <x v="1"/>
    <x v="0"/>
    <s v="Yes"/>
  </r>
  <r>
    <n v="13313"/>
    <s v="Married"/>
    <x v="0"/>
    <n v="120000"/>
    <n v="1"/>
    <s v="High School"/>
    <x v="2"/>
    <s v="No"/>
    <n v="4"/>
    <s v="2-5 Miles"/>
    <x v="2"/>
    <n v="45"/>
    <s v="Middle Age"/>
    <s v="No"/>
    <n v="0"/>
    <x v="0"/>
    <x v="1"/>
    <s v="No"/>
  </r>
  <r>
    <n v="18952"/>
    <s v="Married"/>
    <x v="0"/>
    <n v="100000"/>
    <n v="4"/>
    <s v="Bachelors"/>
    <x v="4"/>
    <s v="Yes"/>
    <n v="4"/>
    <s v="0-1 Miles"/>
    <x v="2"/>
    <n v="40"/>
    <s v="Middle Age"/>
    <s v="No"/>
    <n v="0"/>
    <x v="0"/>
    <x v="1"/>
    <s v="No"/>
  </r>
  <r>
    <n v="17699"/>
    <s v="Married"/>
    <x v="1"/>
    <n v="60000"/>
    <n v="1"/>
    <s v="Graduate Degree"/>
    <x v="0"/>
    <s v="No"/>
    <n v="0"/>
    <s v="0-1 Miles"/>
    <x v="2"/>
    <n v="55"/>
    <s v="Old"/>
    <s v="No"/>
    <n v="0"/>
    <x v="1"/>
    <x v="0"/>
    <s v="No"/>
  </r>
  <r>
    <n v="14657"/>
    <s v="Married"/>
    <x v="1"/>
    <n v="80000"/>
    <n v="1"/>
    <s v="Partial College"/>
    <x v="0"/>
    <s v="No"/>
    <n v="1"/>
    <s v="0-1 Miles"/>
    <x v="2"/>
    <n v="47"/>
    <s v="Middle Age"/>
    <s v="Yes"/>
    <n v="0"/>
    <x v="1"/>
    <x v="1"/>
    <s v="Yes"/>
  </r>
  <r>
    <n v="11540"/>
    <s v="Single"/>
    <x v="1"/>
    <n v="60000"/>
    <n v="4"/>
    <s v="Graduate Degree"/>
    <x v="0"/>
    <s v="Yes"/>
    <n v="0"/>
    <s v="1-2 Miles"/>
    <x v="2"/>
    <n v="47"/>
    <s v="Middle Age"/>
    <s v="Yes"/>
    <n v="0"/>
    <x v="1"/>
    <x v="0"/>
    <s v="Yes"/>
  </r>
  <r>
    <n v="11783"/>
    <s v="Married"/>
    <x v="0"/>
    <n v="60000"/>
    <n v="1"/>
    <s v="Graduate Degree"/>
    <x v="0"/>
    <s v="Yes"/>
    <n v="0"/>
    <s v="0-1 Miles"/>
    <x v="2"/>
    <n v="34"/>
    <s v="Middle Age"/>
    <s v="No"/>
    <n v="0"/>
    <x v="0"/>
    <x v="0"/>
    <s v="No"/>
  </r>
  <r>
    <n v="14602"/>
    <s v="Married"/>
    <x v="0"/>
    <n v="80000"/>
    <n v="3"/>
    <s v="Graduate Degree"/>
    <x v="2"/>
    <s v="Yes"/>
    <n v="0"/>
    <s v="0-1 Miles"/>
    <x v="2"/>
    <n v="36"/>
    <s v="Middle Age"/>
    <s v="Yes"/>
    <n v="0"/>
    <x v="0"/>
    <x v="1"/>
    <s v="Yes"/>
  </r>
  <r>
    <n v="29030"/>
    <s v="Married"/>
    <x v="1"/>
    <n v="70000"/>
    <n v="2"/>
    <s v="Partial High School"/>
    <x v="0"/>
    <s v="Yes"/>
    <n v="2"/>
    <s v="10+ Miles"/>
    <x v="2"/>
    <n v="54"/>
    <s v="Middle Age"/>
    <s v="No"/>
    <n v="0"/>
    <x v="1"/>
    <x v="0"/>
    <s v="No"/>
  </r>
  <r>
    <n v="26490"/>
    <s v="Single"/>
    <x v="1"/>
    <n v="70000"/>
    <n v="2"/>
    <s v="Bachelors"/>
    <x v="4"/>
    <s v="No"/>
    <n v="1"/>
    <s v="2-5 Miles"/>
    <x v="2"/>
    <n v="59"/>
    <s v="Old"/>
    <s v="Yes"/>
    <n v="0"/>
    <x v="1"/>
    <x v="0"/>
    <s v="Yes"/>
  </r>
  <r>
    <n v="13151"/>
    <s v="Single"/>
    <x v="1"/>
    <n v="40000"/>
    <n v="0"/>
    <s v="High School"/>
    <x v="0"/>
    <s v="Yes"/>
    <n v="2"/>
    <s v="5-10 Miles"/>
    <x v="2"/>
    <n v="27"/>
    <s v="Adolescent"/>
    <s v="No"/>
    <n v="0"/>
    <x v="3"/>
    <x v="0"/>
    <s v="No"/>
  </r>
  <r>
    <n v="17260"/>
    <s v="Married"/>
    <x v="1"/>
    <n v="90000"/>
    <n v="5"/>
    <s v="Partial College"/>
    <x v="2"/>
    <s v="Yes"/>
    <n v="3"/>
    <s v="0-1 Miles"/>
    <x v="2"/>
    <n v="41"/>
    <s v="Middle Age"/>
    <s v="No"/>
    <n v="0"/>
    <x v="0"/>
    <x v="1"/>
    <s v="No"/>
  </r>
  <r>
    <n v="15372"/>
    <s v="Married"/>
    <x v="1"/>
    <n v="80000"/>
    <n v="3"/>
    <s v="Partial College"/>
    <x v="2"/>
    <s v="No"/>
    <n v="2"/>
    <s v="2-5 Miles"/>
    <x v="2"/>
    <n v="50"/>
    <s v="Middle Age"/>
    <s v="Yes"/>
    <n v="0"/>
    <x v="1"/>
    <x v="1"/>
    <s v="Yes"/>
  </r>
  <r>
    <n v="18105"/>
    <s v="Married"/>
    <x v="0"/>
    <n v="60000"/>
    <n v="2"/>
    <s v="Partial College"/>
    <x v="2"/>
    <s v="Yes"/>
    <n v="1"/>
    <s v="10+ Miles"/>
    <x v="2"/>
    <n v="55"/>
    <s v="Old"/>
    <s v="No"/>
    <n v="0"/>
    <x v="1"/>
    <x v="0"/>
    <s v="No"/>
  </r>
  <r>
    <n v="19660"/>
    <s v="Married"/>
    <x v="1"/>
    <n v="80000"/>
    <n v="4"/>
    <s v="Bachelors"/>
    <x v="4"/>
    <s v="Yes"/>
    <n v="0"/>
    <s v="0-1 Miles"/>
    <x v="2"/>
    <n v="43"/>
    <s v="Middle Age"/>
    <s v="No"/>
    <n v="0"/>
    <x v="0"/>
    <x v="1"/>
    <s v="No"/>
  </r>
  <r>
    <n v="16112"/>
    <s v="Single"/>
    <x v="1"/>
    <n v="70000"/>
    <n v="4"/>
    <s v="Bachelors"/>
    <x v="2"/>
    <s v="Yes"/>
    <n v="2"/>
    <s v="2-5 Miles"/>
    <x v="2"/>
    <n v="43"/>
    <s v="Middle Age"/>
    <s v="Yes"/>
    <n v="0"/>
    <x v="0"/>
    <x v="0"/>
    <s v="Yes"/>
  </r>
  <r>
    <n v="20698"/>
    <s v="Married"/>
    <x v="1"/>
    <n v="60000"/>
    <n v="4"/>
    <s v="Bachelors"/>
    <x v="0"/>
    <s v="Yes"/>
    <n v="3"/>
    <s v="5-10 Miles"/>
    <x v="2"/>
    <n v="42"/>
    <s v="Middle Age"/>
    <s v="No"/>
    <n v="0"/>
    <x v="0"/>
    <x v="0"/>
    <s v="No"/>
  </r>
  <r>
    <n v="20076"/>
    <s v="Single"/>
    <x v="0"/>
    <n v="10000"/>
    <n v="2"/>
    <s v="High School"/>
    <x v="3"/>
    <s v="Yes"/>
    <n v="2"/>
    <s v="1-2 Miles"/>
    <x v="2"/>
    <n v="53"/>
    <s v="Middle Age"/>
    <s v="Yes"/>
    <n v="0"/>
    <x v="1"/>
    <x v="2"/>
    <s v="Yes"/>
  </r>
  <r>
    <n v="24496"/>
    <s v="Single"/>
    <x v="0"/>
    <n v="40000"/>
    <n v="0"/>
    <s v="High School"/>
    <x v="0"/>
    <s v="No"/>
    <n v="2"/>
    <s v="0-1 Miles"/>
    <x v="2"/>
    <n v="28"/>
    <s v="Adolescent"/>
    <s v="Yes"/>
    <n v="0"/>
    <x v="3"/>
    <x v="0"/>
    <s v="Yes"/>
  </r>
  <r>
    <n v="15468"/>
    <s v="Married"/>
    <x v="0"/>
    <n v="50000"/>
    <n v="1"/>
    <s v="Bachelors"/>
    <x v="0"/>
    <s v="Yes"/>
    <n v="1"/>
    <s v="0-1 Miles"/>
    <x v="2"/>
    <n v="35"/>
    <s v="Middle Age"/>
    <s v="No"/>
    <n v="0"/>
    <x v="0"/>
    <x v="0"/>
    <s v="No"/>
  </r>
  <r>
    <n v="28031"/>
    <s v="Single"/>
    <x v="0"/>
    <n v="70000"/>
    <n v="2"/>
    <s v="Bachelors"/>
    <x v="4"/>
    <s v="No"/>
    <n v="1"/>
    <s v="2-5 Miles"/>
    <x v="2"/>
    <n v="59"/>
    <s v="Old"/>
    <s v="Yes"/>
    <n v="0"/>
    <x v="1"/>
    <x v="0"/>
    <s v="Yes"/>
  </r>
  <r>
    <n v="26270"/>
    <s v="Single"/>
    <x v="0"/>
    <n v="20000"/>
    <n v="2"/>
    <s v="Partial High School"/>
    <x v="1"/>
    <s v="Yes"/>
    <n v="2"/>
    <s v="1-2 Miles"/>
    <x v="2"/>
    <n v="49"/>
    <s v="Middle Age"/>
    <s v="No"/>
    <n v="0"/>
    <x v="1"/>
    <x v="2"/>
    <s v="No"/>
  </r>
  <r>
    <n v="22221"/>
    <s v="Married"/>
    <x v="1"/>
    <n v="60000"/>
    <n v="2"/>
    <s v="High School"/>
    <x v="2"/>
    <s v="No"/>
    <n v="2"/>
    <s v="1-2 Miles"/>
    <x v="2"/>
    <n v="48"/>
    <s v="Middle Age"/>
    <s v="Yes"/>
    <n v="0"/>
    <x v="1"/>
    <x v="0"/>
    <s v="Yes"/>
  </r>
  <r>
    <n v="28228"/>
    <s v="Single"/>
    <x v="0"/>
    <n v="80000"/>
    <n v="2"/>
    <s v="Partial High School"/>
    <x v="0"/>
    <s v="No"/>
    <n v="2"/>
    <s v="1-2 Miles"/>
    <x v="2"/>
    <n v="50"/>
    <s v="Middle Age"/>
    <s v="No"/>
    <n v="0"/>
    <x v="1"/>
    <x v="1"/>
    <s v="No"/>
  </r>
  <r>
    <n v="18363"/>
    <s v="Married"/>
    <x v="1"/>
    <n v="40000"/>
    <n v="0"/>
    <s v="High School"/>
    <x v="0"/>
    <s v="Yes"/>
    <n v="2"/>
    <s v="5-10 Miles"/>
    <x v="2"/>
    <n v="28"/>
    <s v="Adolescent"/>
    <s v="Yes"/>
    <n v="0"/>
    <x v="3"/>
    <x v="0"/>
    <s v="Yes"/>
  </r>
  <r>
    <n v="23256"/>
    <s v="Single"/>
    <x v="1"/>
    <n v="30000"/>
    <n v="1"/>
    <s v="High School"/>
    <x v="1"/>
    <s v="No"/>
    <n v="1"/>
    <s v="5-10 Miles"/>
    <x v="2"/>
    <n v="52"/>
    <s v="Middle Age"/>
    <s v="No"/>
    <n v="0"/>
    <x v="1"/>
    <x v="0"/>
    <s v="No"/>
  </r>
  <r>
    <n v="12768"/>
    <s v="Married"/>
    <x v="1"/>
    <n v="30000"/>
    <n v="1"/>
    <s v="High School"/>
    <x v="1"/>
    <s v="Yes"/>
    <n v="1"/>
    <s v="2-5 Miles"/>
    <x v="2"/>
    <n v="52"/>
    <s v="Middle Age"/>
    <s v="Yes"/>
    <n v="0"/>
    <x v="1"/>
    <x v="0"/>
    <s v="Yes"/>
  </r>
  <r>
    <n v="20361"/>
    <s v="Married"/>
    <x v="1"/>
    <n v="50000"/>
    <n v="2"/>
    <s v="Graduate Degree"/>
    <x v="4"/>
    <s v="Yes"/>
    <n v="2"/>
    <s v="5-10 Miles"/>
    <x v="2"/>
    <n v="69"/>
    <s v="Old"/>
    <s v="No"/>
    <n v="0"/>
    <x v="2"/>
    <x v="0"/>
    <s v="No"/>
  </r>
  <r>
    <n v="21306"/>
    <s v="Single"/>
    <x v="1"/>
    <n v="60000"/>
    <n v="2"/>
    <s v="High School"/>
    <x v="2"/>
    <s v="Yes"/>
    <n v="2"/>
    <s v="5-10 Miles"/>
    <x v="2"/>
    <n v="51"/>
    <s v="Middle Age"/>
    <s v="No"/>
    <n v="0"/>
    <x v="1"/>
    <x v="0"/>
    <s v="No"/>
  </r>
  <r>
    <n v="13382"/>
    <s v="Married"/>
    <x v="1"/>
    <n v="70000"/>
    <n v="5"/>
    <s v="Partial College"/>
    <x v="2"/>
    <s v="Yes"/>
    <n v="2"/>
    <s v="1-2 Miles"/>
    <x v="2"/>
    <n v="57"/>
    <s v="Old"/>
    <s v="Yes"/>
    <n v="0"/>
    <x v="1"/>
    <x v="0"/>
    <s v="Yes"/>
  </r>
  <r>
    <n v="20310"/>
    <s v="Single"/>
    <x v="1"/>
    <n v="60000"/>
    <n v="0"/>
    <s v="Partial College"/>
    <x v="0"/>
    <s v="Yes"/>
    <n v="1"/>
    <s v="5-10 Miles"/>
    <x v="2"/>
    <n v="27"/>
    <s v="Adolescent"/>
    <s v="Yes"/>
    <n v="0"/>
    <x v="3"/>
    <x v="0"/>
    <s v="Yes"/>
  </r>
  <r>
    <n v="22971"/>
    <s v="Single"/>
    <x v="0"/>
    <n v="30000"/>
    <n v="0"/>
    <s v="High School"/>
    <x v="0"/>
    <s v="No"/>
    <n v="2"/>
    <s v="0-1 Miles"/>
    <x v="2"/>
    <n v="25"/>
    <s v="Adolescent"/>
    <s v="Yes"/>
    <n v="0"/>
    <x v="3"/>
    <x v="0"/>
    <s v="Yes"/>
  </r>
  <r>
    <n v="15287"/>
    <s v="Single"/>
    <x v="0"/>
    <n v="50000"/>
    <n v="1"/>
    <s v="Graduate Degree"/>
    <x v="0"/>
    <s v="Yes"/>
    <n v="0"/>
    <s v="1-2 Miles"/>
    <x v="2"/>
    <n v="33"/>
    <s v="Middle Age"/>
    <s v="Yes"/>
    <n v="0"/>
    <x v="0"/>
    <x v="0"/>
    <s v="Yes"/>
  </r>
  <r>
    <n v="15532"/>
    <s v="Single"/>
    <x v="1"/>
    <n v="60000"/>
    <n v="4"/>
    <s v="Bachelors"/>
    <x v="2"/>
    <s v="Yes"/>
    <n v="2"/>
    <s v="2-5 Miles"/>
    <x v="2"/>
    <n v="43"/>
    <s v="Middle Age"/>
    <s v="Yes"/>
    <n v="0"/>
    <x v="0"/>
    <x v="0"/>
    <s v="Yes"/>
  </r>
  <r>
    <n v="11255"/>
    <s v="Married"/>
    <x v="1"/>
    <n v="70000"/>
    <n v="4"/>
    <s v="Graduate Degree"/>
    <x v="4"/>
    <s v="Yes"/>
    <n v="2"/>
    <s v="5-10 Miles"/>
    <x v="2"/>
    <n v="73"/>
    <s v="Old"/>
    <s v="No"/>
    <n v="0"/>
    <x v="2"/>
    <x v="0"/>
    <s v="No"/>
  </r>
  <r>
    <n v="28090"/>
    <s v="Married"/>
    <x v="1"/>
    <n v="40000"/>
    <n v="0"/>
    <s v="Partial College"/>
    <x v="0"/>
    <s v="Yes"/>
    <n v="1"/>
    <s v="5-10 Miles"/>
    <x v="2"/>
    <n v="27"/>
    <s v="Adolescent"/>
    <s v="No"/>
    <n v="0"/>
    <x v="3"/>
    <x v="0"/>
    <s v="No"/>
  </r>
  <r>
    <n v="15255"/>
    <s v="Married"/>
    <x v="1"/>
    <n v="40000"/>
    <n v="0"/>
    <s v="High School"/>
    <x v="0"/>
    <s v="Yes"/>
    <n v="2"/>
    <s v="5-10 Miles"/>
    <x v="2"/>
    <n v="28"/>
    <s v="Adolescent"/>
    <s v="Yes"/>
    <n v="0"/>
    <x v="3"/>
    <x v="0"/>
    <s v="Yes"/>
  </r>
  <r>
    <n v="13154"/>
    <s v="Married"/>
    <x v="1"/>
    <n v="40000"/>
    <n v="0"/>
    <s v="High School"/>
    <x v="0"/>
    <s v="No"/>
    <n v="2"/>
    <s v="0-1 Miles"/>
    <x v="2"/>
    <n v="27"/>
    <s v="Adolescent"/>
    <s v="Yes"/>
    <n v="0"/>
    <x v="3"/>
    <x v="0"/>
    <s v="Yes"/>
  </r>
  <r>
    <n v="26778"/>
    <s v="Single"/>
    <x v="0"/>
    <n v="40000"/>
    <n v="0"/>
    <s v="High School"/>
    <x v="0"/>
    <s v="Yes"/>
    <n v="2"/>
    <s v="5-10 Miles"/>
    <x v="2"/>
    <n v="31"/>
    <s v="Middle Age"/>
    <s v="No"/>
    <n v="0"/>
    <x v="0"/>
    <x v="0"/>
    <s v="No"/>
  </r>
  <r>
    <n v="23248"/>
    <s v="Married"/>
    <x v="0"/>
    <n v="10000"/>
    <n v="2"/>
    <s v="High School"/>
    <x v="3"/>
    <s v="Yes"/>
    <n v="2"/>
    <s v="1-2 Miles"/>
    <x v="2"/>
    <n v="53"/>
    <s v="Middle Age"/>
    <s v="No"/>
    <n v="0"/>
    <x v="1"/>
    <x v="2"/>
    <s v="No"/>
  </r>
  <r>
    <n v="21417"/>
    <s v="Single"/>
    <x v="0"/>
    <n v="60000"/>
    <n v="0"/>
    <s v="Partial College"/>
    <x v="2"/>
    <s v="No"/>
    <n v="2"/>
    <s v="1-2 Miles"/>
    <x v="2"/>
    <n v="32"/>
    <s v="Middle Age"/>
    <s v="Yes"/>
    <n v="0"/>
    <x v="0"/>
    <x v="0"/>
    <s v="Yes"/>
  </r>
  <r>
    <n v="17668"/>
    <s v="Single"/>
    <x v="1"/>
    <n v="30000"/>
    <n v="2"/>
    <s v="High School"/>
    <x v="0"/>
    <s v="Yes"/>
    <n v="2"/>
    <s v="1-2 Miles"/>
    <x v="2"/>
    <n v="50"/>
    <s v="Middle Age"/>
    <s v="Yes"/>
    <n v="0"/>
    <x v="1"/>
    <x v="0"/>
    <s v="Yes"/>
  </r>
  <r>
    <n v="27994"/>
    <s v="Married"/>
    <x v="0"/>
    <n v="40000"/>
    <n v="4"/>
    <s v="High School"/>
    <x v="2"/>
    <s v="Yes"/>
    <n v="2"/>
    <s v="5-10 Miles"/>
    <x v="2"/>
    <n v="69"/>
    <s v="Old"/>
    <s v="No"/>
    <n v="0"/>
    <x v="2"/>
    <x v="0"/>
    <s v="No"/>
  </r>
  <r>
    <n v="20376"/>
    <s v="Single"/>
    <x v="0"/>
    <n v="70000"/>
    <n v="3"/>
    <s v="Graduate Degree"/>
    <x v="4"/>
    <s v="Yes"/>
    <n v="2"/>
    <s v="5-10 Miles"/>
    <x v="2"/>
    <n v="52"/>
    <s v="Middle Age"/>
    <s v="Yes"/>
    <n v="0"/>
    <x v="1"/>
    <x v="0"/>
    <s v="Yes"/>
  </r>
  <r>
    <n v="25954"/>
    <s v="Married"/>
    <x v="1"/>
    <n v="60000"/>
    <n v="0"/>
    <s v="Partial College"/>
    <x v="0"/>
    <s v="No"/>
    <n v="2"/>
    <s v="1-2 Miles"/>
    <x v="2"/>
    <n v="31"/>
    <s v="Middle Age"/>
    <s v="No"/>
    <n v="0"/>
    <x v="0"/>
    <x v="0"/>
    <s v="No"/>
  </r>
  <r>
    <n v="15749"/>
    <s v="Single"/>
    <x v="0"/>
    <n v="70000"/>
    <n v="4"/>
    <s v="Bachelors"/>
    <x v="4"/>
    <s v="Yes"/>
    <n v="2"/>
    <s v="10+ Miles"/>
    <x v="2"/>
    <n v="61"/>
    <s v="Old"/>
    <s v="No"/>
    <n v="0"/>
    <x v="2"/>
    <x v="0"/>
    <s v="No"/>
  </r>
  <r>
    <n v="25899"/>
    <s v="Married"/>
    <x v="0"/>
    <n v="70000"/>
    <n v="2"/>
    <s v="High School"/>
    <x v="2"/>
    <s v="Yes"/>
    <n v="2"/>
    <s v="10+ Miles"/>
    <x v="2"/>
    <n v="53"/>
    <s v="Middle Age"/>
    <s v="No"/>
    <n v="0"/>
    <x v="1"/>
    <x v="0"/>
    <s v="No"/>
  </r>
  <r>
    <n v="13351"/>
    <s v="Single"/>
    <x v="0"/>
    <n v="70000"/>
    <n v="4"/>
    <s v="Bachelors"/>
    <x v="4"/>
    <s v="Yes"/>
    <n v="2"/>
    <s v="1-2 Miles"/>
    <x v="2"/>
    <n v="62"/>
    <s v="Old"/>
    <s v="Yes"/>
    <n v="0"/>
    <x v="2"/>
    <x v="0"/>
    <s v="Yes"/>
  </r>
  <r>
    <n v="23333"/>
    <s v="Married"/>
    <x v="1"/>
    <n v="40000"/>
    <n v="0"/>
    <s v="Partial College"/>
    <x v="0"/>
    <s v="No"/>
    <n v="2"/>
    <s v="1-2 Miles"/>
    <x v="2"/>
    <n v="30"/>
    <s v="Adolescent"/>
    <s v="No"/>
    <n v="0"/>
    <x v="0"/>
    <x v="0"/>
    <s v="No"/>
  </r>
  <r>
    <n v="21660"/>
    <s v="Married"/>
    <x v="0"/>
    <n v="60000"/>
    <n v="3"/>
    <s v="Graduate Degree"/>
    <x v="2"/>
    <s v="Yes"/>
    <n v="0"/>
    <s v="2-5 Miles"/>
    <x v="2"/>
    <n v="43"/>
    <s v="Middle Age"/>
    <s v="Yes"/>
    <n v="0"/>
    <x v="0"/>
    <x v="0"/>
    <s v="Yes"/>
  </r>
  <r>
    <n v="17012"/>
    <s v="Married"/>
    <x v="0"/>
    <n v="60000"/>
    <n v="3"/>
    <s v="Graduate Degree"/>
    <x v="2"/>
    <s v="Yes"/>
    <n v="0"/>
    <s v="2-5 Miles"/>
    <x v="2"/>
    <n v="42"/>
    <s v="Middle Age"/>
    <s v="Yes"/>
    <n v="0"/>
    <x v="0"/>
    <x v="0"/>
    <s v="Yes"/>
  </r>
  <r>
    <n v="24514"/>
    <s v="Married"/>
    <x v="1"/>
    <n v="40000"/>
    <n v="0"/>
    <s v="Partial College"/>
    <x v="0"/>
    <s v="Yes"/>
    <n v="1"/>
    <s v="5-10 Miles"/>
    <x v="2"/>
    <n v="30"/>
    <s v="Adolescent"/>
    <s v="No"/>
    <n v="0"/>
    <x v="0"/>
    <x v="0"/>
    <s v="No"/>
  </r>
  <r>
    <n v="27505"/>
    <s v="Single"/>
    <x v="0"/>
    <n v="40000"/>
    <n v="0"/>
    <s v="High School"/>
    <x v="0"/>
    <s v="Yes"/>
    <n v="2"/>
    <s v="5-10 Miles"/>
    <x v="2"/>
    <n v="30"/>
    <s v="Adolescent"/>
    <s v="No"/>
    <n v="0"/>
    <x v="0"/>
    <x v="0"/>
    <s v="No"/>
  </r>
  <r>
    <n v="29243"/>
    <s v="Single"/>
    <x v="1"/>
    <n v="110000"/>
    <n v="1"/>
    <s v="Bachelors"/>
    <x v="4"/>
    <s v="Yes"/>
    <n v="1"/>
    <s v="5-10 Miles"/>
    <x v="2"/>
    <n v="43"/>
    <s v="Middle Age"/>
    <s v="No"/>
    <n v="0"/>
    <x v="0"/>
    <x v="1"/>
    <s v="No"/>
  </r>
  <r>
    <n v="26582"/>
    <s v="Married"/>
    <x v="1"/>
    <n v="60000"/>
    <n v="0"/>
    <s v="Partial College"/>
    <x v="0"/>
    <s v="Yes"/>
    <n v="2"/>
    <s v="5-10 Miles"/>
    <x v="2"/>
    <n v="33"/>
    <s v="Middle Age"/>
    <s v="Yes"/>
    <n v="0"/>
    <x v="0"/>
    <x v="0"/>
    <s v="Yes"/>
  </r>
  <r>
    <n v="14271"/>
    <s v="Married"/>
    <x v="1"/>
    <n v="30000"/>
    <n v="0"/>
    <s v="High School"/>
    <x v="0"/>
    <s v="Yes"/>
    <n v="2"/>
    <s v="5-10 Miles"/>
    <x v="2"/>
    <n v="32"/>
    <s v="Middle Age"/>
    <s v="No"/>
    <n v="0"/>
    <x v="0"/>
    <x v="0"/>
    <s v="No"/>
  </r>
  <r>
    <n v="23041"/>
    <s v="Single"/>
    <x v="0"/>
    <n v="70000"/>
    <n v="4"/>
    <s v="High School"/>
    <x v="2"/>
    <s v="Yes"/>
    <n v="0"/>
    <s v="5-10 Miles"/>
    <x v="2"/>
    <n v="50"/>
    <s v="Middle Age"/>
    <s v="Yes"/>
    <n v="0"/>
    <x v="1"/>
    <x v="0"/>
    <s v="Yes"/>
  </r>
  <r>
    <n v="29048"/>
    <s v="Single"/>
    <x v="1"/>
    <n v="110000"/>
    <n v="2"/>
    <s v="Bachelors"/>
    <x v="4"/>
    <s v="No"/>
    <n v="3"/>
    <s v="0-1 Miles"/>
    <x v="2"/>
    <n v="37"/>
    <s v="Middle Age"/>
    <s v="Yes"/>
    <n v="0"/>
    <x v="0"/>
    <x v="1"/>
    <s v="Yes"/>
  </r>
  <r>
    <n v="24433"/>
    <s v="Married"/>
    <x v="1"/>
    <n v="70000"/>
    <n v="3"/>
    <s v="High School"/>
    <x v="2"/>
    <s v="No"/>
    <n v="1"/>
    <s v="1-2 Miles"/>
    <x v="2"/>
    <n v="52"/>
    <s v="Middle Age"/>
    <s v="Yes"/>
    <n v="0"/>
    <x v="1"/>
    <x v="0"/>
    <s v="Yes"/>
  </r>
  <r>
    <n v="15501"/>
    <s v="Married"/>
    <x v="1"/>
    <n v="70000"/>
    <n v="4"/>
    <s v="Graduate Degree"/>
    <x v="2"/>
    <s v="Yes"/>
    <n v="0"/>
    <s v="2-5 Miles"/>
    <x v="2"/>
    <n v="36"/>
    <s v="Middle Age"/>
    <s v="Yes"/>
    <n v="0"/>
    <x v="0"/>
    <x v="0"/>
    <s v="Yes"/>
  </r>
  <r>
    <n v="13911"/>
    <s v="Single"/>
    <x v="0"/>
    <n v="80000"/>
    <n v="3"/>
    <s v="Bachelors"/>
    <x v="0"/>
    <s v="Yes"/>
    <n v="2"/>
    <s v="2-5 Miles"/>
    <x v="2"/>
    <n v="41"/>
    <s v="Middle Age"/>
    <s v="Yes"/>
    <n v="0"/>
    <x v="0"/>
    <x v="1"/>
    <s v="Yes"/>
  </r>
  <r>
    <n v="20421"/>
    <s v="Single"/>
    <x v="0"/>
    <n v="40000"/>
    <n v="0"/>
    <s v="Partial High School"/>
    <x v="1"/>
    <s v="Yes"/>
    <n v="2"/>
    <s v="5-10 Miles"/>
    <x v="2"/>
    <n v="26"/>
    <s v="Adolescent"/>
    <s v="No"/>
    <n v="0"/>
    <x v="3"/>
    <x v="0"/>
    <s v="No"/>
  </r>
  <r>
    <n v="16009"/>
    <s v="Single"/>
    <x v="1"/>
    <n v="170000"/>
    <n v="1"/>
    <s v="Graduate Degree"/>
    <x v="4"/>
    <s v="No"/>
    <n v="4"/>
    <s v="0-1 Miles"/>
    <x v="2"/>
    <n v="66"/>
    <s v="Old"/>
    <s v="No"/>
    <n v="0"/>
    <x v="2"/>
    <x v="1"/>
    <s v="No"/>
  </r>
  <r>
    <n v="18411"/>
    <s v="Married"/>
    <x v="1"/>
    <n v="60000"/>
    <n v="2"/>
    <s v="High School"/>
    <x v="2"/>
    <s v="No"/>
    <n v="2"/>
    <s v="5-10 Miles"/>
    <x v="2"/>
    <n v="51"/>
    <s v="Middle Age"/>
    <s v="No"/>
    <n v="0"/>
    <x v="1"/>
    <x v="0"/>
    <s v="No"/>
  </r>
  <r>
    <n v="19163"/>
    <s v="Married"/>
    <x v="0"/>
    <n v="70000"/>
    <n v="4"/>
    <s v="Bachelors"/>
    <x v="2"/>
    <s v="Yes"/>
    <n v="2"/>
    <s v="0-1 Miles"/>
    <x v="2"/>
    <n v="43"/>
    <s v="Middle Age"/>
    <s v="Yes"/>
    <n v="0"/>
    <x v="0"/>
    <x v="0"/>
    <s v="Yes"/>
  </r>
  <r>
    <n v="18572"/>
    <s v="Married"/>
    <x v="0"/>
    <n v="60000"/>
    <n v="0"/>
    <s v="Graduate Degree"/>
    <x v="2"/>
    <s v="Yes"/>
    <n v="0"/>
    <s v="0-1 Miles"/>
    <x v="2"/>
    <n v="39"/>
    <s v="Middle Age"/>
    <s v="No"/>
    <n v="0"/>
    <x v="0"/>
    <x v="0"/>
    <s v="No"/>
  </r>
  <r>
    <n v="27540"/>
    <s v="Single"/>
    <x v="0"/>
    <n v="70000"/>
    <n v="0"/>
    <s v="Bachelors"/>
    <x v="2"/>
    <s v="No"/>
    <n v="1"/>
    <s v="0-1 Miles"/>
    <x v="2"/>
    <n v="37"/>
    <s v="Middle Age"/>
    <s v="Yes"/>
    <n v="0"/>
    <x v="0"/>
    <x v="0"/>
    <s v="Yes"/>
  </r>
  <r>
    <n v="19889"/>
    <s v="Single"/>
    <x v="0"/>
    <n v="70000"/>
    <n v="2"/>
    <s v="Partial High School"/>
    <x v="0"/>
    <s v="No"/>
    <n v="2"/>
    <s v="2-5 Miles"/>
    <x v="2"/>
    <n v="54"/>
    <s v="Middle Age"/>
    <s v="Yes"/>
    <n v="0"/>
    <x v="1"/>
    <x v="0"/>
    <s v="Yes"/>
  </r>
  <r>
    <n v="12922"/>
    <s v="Single"/>
    <x v="0"/>
    <n v="60000"/>
    <n v="3"/>
    <s v="Bachelors"/>
    <x v="0"/>
    <s v="Yes"/>
    <n v="0"/>
    <s v="2-5 Miles"/>
    <x v="2"/>
    <n v="40"/>
    <s v="Middle Age"/>
    <s v="Yes"/>
    <n v="0"/>
    <x v="0"/>
    <x v="0"/>
    <s v="Yes"/>
  </r>
  <r>
    <n v="18891"/>
    <s v="Married"/>
    <x v="0"/>
    <n v="40000"/>
    <n v="0"/>
    <s v="Partial College"/>
    <x v="0"/>
    <s v="Yes"/>
    <n v="2"/>
    <s v="5-10 Miles"/>
    <x v="2"/>
    <n v="28"/>
    <s v="Adolescent"/>
    <s v="No"/>
    <n v="0"/>
    <x v="3"/>
    <x v="0"/>
    <s v="No"/>
  </r>
  <r>
    <n v="16773"/>
    <s v="Married"/>
    <x v="1"/>
    <n v="60000"/>
    <n v="1"/>
    <s v="Graduate Degree"/>
    <x v="0"/>
    <s v="Yes"/>
    <n v="0"/>
    <s v="0-1 Miles"/>
    <x v="2"/>
    <n v="33"/>
    <s v="Middle Age"/>
    <s v="No"/>
    <n v="0"/>
    <x v="0"/>
    <x v="0"/>
    <s v="No"/>
  </r>
  <r>
    <n v="19143"/>
    <s v="Single"/>
    <x v="0"/>
    <n v="80000"/>
    <n v="3"/>
    <s v="Bachelors"/>
    <x v="0"/>
    <s v="Yes"/>
    <n v="2"/>
    <s v="2-5 Miles"/>
    <x v="2"/>
    <n v="41"/>
    <s v="Middle Age"/>
    <s v="Yes"/>
    <n v="0"/>
    <x v="0"/>
    <x v="1"/>
    <s v="Yes"/>
  </r>
  <r>
    <n v="23882"/>
    <s v="Single"/>
    <x v="0"/>
    <n v="80000"/>
    <n v="3"/>
    <s v="Graduate Degree"/>
    <x v="2"/>
    <s v="Yes"/>
    <n v="0"/>
    <s v="0-1 Miles"/>
    <x v="2"/>
    <n v="37"/>
    <s v="Middle Age"/>
    <s v="Yes"/>
    <n v="0"/>
    <x v="0"/>
    <x v="1"/>
    <s v="Yes"/>
  </r>
  <r>
    <n v="11233"/>
    <s v="Married"/>
    <x v="1"/>
    <n v="70000"/>
    <n v="4"/>
    <s v="Partial College"/>
    <x v="2"/>
    <s v="Yes"/>
    <n v="2"/>
    <s v="10+ Miles"/>
    <x v="2"/>
    <n v="53"/>
    <s v="Middle Age"/>
    <s v="No"/>
    <n v="0"/>
    <x v="1"/>
    <x v="0"/>
    <s v="No"/>
  </r>
  <r>
    <n v="12056"/>
    <s v="Married"/>
    <x v="1"/>
    <n v="120000"/>
    <n v="2"/>
    <s v="Graduate Degree"/>
    <x v="4"/>
    <s v="Yes"/>
    <n v="3"/>
    <s v="5-10 Miles"/>
    <x v="2"/>
    <n v="64"/>
    <s v="Old"/>
    <s v="No"/>
    <n v="0"/>
    <x v="2"/>
    <x v="1"/>
    <s v="No"/>
  </r>
  <r>
    <n v="15555"/>
    <s v="Married"/>
    <x v="0"/>
    <n v="60000"/>
    <n v="1"/>
    <s v="Partial College"/>
    <x v="0"/>
    <s v="Yes"/>
    <n v="1"/>
    <s v="2-5 Miles"/>
    <x v="2"/>
    <n v="45"/>
    <s v="Middle Age"/>
    <s v="Yes"/>
    <n v="0"/>
    <x v="0"/>
    <x v="0"/>
    <s v="Yes"/>
  </r>
  <r>
    <n v="18423"/>
    <s v="Single"/>
    <x v="1"/>
    <n v="80000"/>
    <n v="2"/>
    <s v="Partial High School"/>
    <x v="0"/>
    <s v="No"/>
    <n v="2"/>
    <s v="1-2 Miles"/>
    <x v="2"/>
    <n v="52"/>
    <s v="Middle Age"/>
    <s v="No"/>
    <n v="0"/>
    <x v="1"/>
    <x v="1"/>
    <s v="No"/>
  </r>
  <r>
    <n v="22743"/>
    <s v="Married"/>
    <x v="0"/>
    <n v="40000"/>
    <n v="5"/>
    <s v="High School"/>
    <x v="2"/>
    <s v="Yes"/>
    <n v="2"/>
    <s v="10+ Miles"/>
    <x v="2"/>
    <n v="60"/>
    <s v="Old"/>
    <s v="No"/>
    <n v="0"/>
    <x v="1"/>
    <x v="0"/>
    <s v="No"/>
  </r>
  <r>
    <n v="25343"/>
    <s v="Single"/>
    <x v="0"/>
    <n v="20000"/>
    <n v="3"/>
    <s v="Partial High School"/>
    <x v="1"/>
    <s v="Yes"/>
    <n v="2"/>
    <s v="1-2 Miles"/>
    <x v="2"/>
    <n v="50"/>
    <s v="Middle Age"/>
    <s v="No"/>
    <n v="0"/>
    <x v="1"/>
    <x v="2"/>
    <s v="No"/>
  </r>
  <r>
    <n v="13390"/>
    <s v="Married"/>
    <x v="0"/>
    <n v="70000"/>
    <n v="4"/>
    <s v="Partial College"/>
    <x v="2"/>
    <s v="No"/>
    <n v="1"/>
    <s v="1-2 Miles"/>
    <x v="2"/>
    <n v="56"/>
    <s v="Old"/>
    <s v="No"/>
    <n v="0"/>
    <x v="1"/>
    <x v="0"/>
    <s v="No"/>
  </r>
  <r>
    <n v="17482"/>
    <s v="Single"/>
    <x v="0"/>
    <n v="40000"/>
    <n v="0"/>
    <s v="Partial High School"/>
    <x v="1"/>
    <s v="Yes"/>
    <n v="2"/>
    <s v="5-10 Miles"/>
    <x v="2"/>
    <n v="29"/>
    <s v="Adolescent"/>
    <s v="No"/>
    <n v="0"/>
    <x v="3"/>
    <x v="0"/>
    <s v="No"/>
  </r>
  <r>
    <n v="13176"/>
    <s v="Single"/>
    <x v="1"/>
    <n v="130000"/>
    <n v="0"/>
    <s v="Graduate Degree"/>
    <x v="4"/>
    <s v="No"/>
    <n v="2"/>
    <s v="0-1 Miles"/>
    <x v="2"/>
    <n v="38"/>
    <s v="Middle Age"/>
    <s v="Yes"/>
    <n v="0"/>
    <x v="0"/>
    <x v="1"/>
    <s v="Yes"/>
  </r>
  <r>
    <n v="20504"/>
    <s v="Married"/>
    <x v="0"/>
    <n v="40000"/>
    <n v="5"/>
    <s v="High School"/>
    <x v="2"/>
    <s v="No"/>
    <n v="2"/>
    <s v="2-5 Miles"/>
    <x v="2"/>
    <n v="60"/>
    <s v="Old"/>
    <s v="No"/>
    <n v="0"/>
    <x v="1"/>
    <x v="0"/>
    <s v="No"/>
  </r>
  <r>
    <n v="12205"/>
    <s v="Single"/>
    <x v="0"/>
    <n v="130000"/>
    <n v="2"/>
    <s v="Bachelors"/>
    <x v="4"/>
    <s v="No"/>
    <n v="4"/>
    <s v="0-1 Miles"/>
    <x v="2"/>
    <n v="67"/>
    <s v="Old"/>
    <s v="No"/>
    <n v="0"/>
    <x v="2"/>
    <x v="1"/>
    <s v="No"/>
  </r>
  <r>
    <n v="16751"/>
    <s v="Married"/>
    <x v="1"/>
    <n v="60000"/>
    <n v="0"/>
    <s v="Partial College"/>
    <x v="0"/>
    <s v="Yes"/>
    <n v="1"/>
    <s v="5-10 Miles"/>
    <x v="2"/>
    <n v="32"/>
    <s v="Middle Age"/>
    <s v="Yes"/>
    <n v="0"/>
    <x v="0"/>
    <x v="0"/>
    <s v="Yes"/>
  </r>
  <r>
    <n v="21613"/>
    <s v="Single"/>
    <x v="1"/>
    <n v="50000"/>
    <n v="2"/>
    <s v="Bachelors"/>
    <x v="0"/>
    <s v="No"/>
    <n v="1"/>
    <s v="0-1 Miles"/>
    <x v="2"/>
    <n v="39"/>
    <s v="Middle Age"/>
    <s v="Yes"/>
    <n v="0"/>
    <x v="0"/>
    <x v="0"/>
    <s v="Yes"/>
  </r>
  <r>
    <n v="24801"/>
    <s v="Single"/>
    <x v="1"/>
    <n v="60000"/>
    <n v="1"/>
    <s v="Graduate Degree"/>
    <x v="2"/>
    <s v="Yes"/>
    <n v="0"/>
    <s v="2-5 Miles"/>
    <x v="2"/>
    <n v="35"/>
    <s v="Middle Age"/>
    <s v="Yes"/>
    <n v="0"/>
    <x v="0"/>
    <x v="0"/>
    <s v="Yes"/>
  </r>
  <r>
    <n v="17519"/>
    <s v="Married"/>
    <x v="0"/>
    <n v="60000"/>
    <n v="0"/>
    <s v="Partial College"/>
    <x v="2"/>
    <s v="Yes"/>
    <n v="2"/>
    <s v="5-10 Miles"/>
    <x v="2"/>
    <n v="32"/>
    <s v="Middle Age"/>
    <s v="No"/>
    <n v="0"/>
    <x v="0"/>
    <x v="0"/>
    <s v="No"/>
  </r>
  <r>
    <n v="18347"/>
    <s v="Single"/>
    <x v="0"/>
    <n v="30000"/>
    <n v="0"/>
    <s v="Partial College"/>
    <x v="0"/>
    <s v="No"/>
    <n v="1"/>
    <s v="1-2 Miles"/>
    <x v="2"/>
    <n v="31"/>
    <s v="Middle Age"/>
    <s v="No"/>
    <n v="0"/>
    <x v="0"/>
    <x v="0"/>
    <s v="No"/>
  </r>
  <r>
    <n v="29052"/>
    <s v="Single"/>
    <x v="1"/>
    <n v="40000"/>
    <n v="0"/>
    <s v="Partial College"/>
    <x v="0"/>
    <s v="Yes"/>
    <n v="1"/>
    <s v="5-10 Miles"/>
    <x v="2"/>
    <n v="27"/>
    <s v="Adolescent"/>
    <s v="No"/>
    <n v="0"/>
    <x v="3"/>
    <x v="0"/>
    <s v="No"/>
  </r>
  <r>
    <n v="11745"/>
    <s v="Married"/>
    <x v="0"/>
    <n v="60000"/>
    <n v="1"/>
    <s v="Bachelors"/>
    <x v="2"/>
    <s v="Yes"/>
    <n v="1"/>
    <s v="0-1 Miles"/>
    <x v="2"/>
    <n v="47"/>
    <s v="Middle Age"/>
    <s v="Yes"/>
    <n v="0"/>
    <x v="1"/>
    <x v="0"/>
    <s v="Yes"/>
  </r>
  <r>
    <n v="19147"/>
    <s v="Married"/>
    <x v="1"/>
    <n v="40000"/>
    <n v="0"/>
    <s v="Bachelors"/>
    <x v="2"/>
    <s v="No"/>
    <n v="1"/>
    <s v="0-1 Miles"/>
    <x v="2"/>
    <n v="42"/>
    <s v="Middle Age"/>
    <s v="No"/>
    <n v="0"/>
    <x v="0"/>
    <x v="0"/>
    <s v="No"/>
  </r>
  <r>
    <n v="19217"/>
    <s v="Married"/>
    <x v="1"/>
    <n v="30000"/>
    <n v="2"/>
    <s v="High School"/>
    <x v="0"/>
    <s v="Yes"/>
    <n v="2"/>
    <s v="1-2 Miles"/>
    <x v="2"/>
    <n v="49"/>
    <s v="Middle Age"/>
    <s v="No"/>
    <n v="0"/>
    <x v="1"/>
    <x v="0"/>
    <s v="No"/>
  </r>
  <r>
    <n v="15839"/>
    <s v="Single"/>
    <x v="1"/>
    <n v="30000"/>
    <n v="0"/>
    <s v="Partial College"/>
    <x v="0"/>
    <s v="Yes"/>
    <n v="1"/>
    <s v="5-10 Miles"/>
    <x v="2"/>
    <n v="32"/>
    <s v="Middle Age"/>
    <s v="No"/>
    <n v="0"/>
    <x v="0"/>
    <x v="0"/>
    <s v="No"/>
  </r>
  <r>
    <n v="13714"/>
    <s v="Married"/>
    <x v="0"/>
    <n v="20000"/>
    <n v="2"/>
    <s v="High School"/>
    <x v="3"/>
    <s v="No"/>
    <n v="2"/>
    <s v="1-2 Miles"/>
    <x v="2"/>
    <n v="53"/>
    <s v="Middle Age"/>
    <s v="Yes"/>
    <n v="0"/>
    <x v="1"/>
    <x v="2"/>
    <s v="Yes"/>
  </r>
  <r>
    <n v="22330"/>
    <s v="Married"/>
    <x v="1"/>
    <n v="50000"/>
    <n v="0"/>
    <s v="Graduate Degree"/>
    <x v="0"/>
    <s v="Yes"/>
    <n v="0"/>
    <s v="1-2 Miles"/>
    <x v="2"/>
    <n v="32"/>
    <s v="Middle Age"/>
    <s v="Yes"/>
    <n v="0"/>
    <x v="0"/>
    <x v="0"/>
    <s v="Yes"/>
  </r>
  <r>
    <n v="18783"/>
    <s v="Single"/>
    <x v="1"/>
    <n v="80000"/>
    <n v="0"/>
    <s v="Bachelors"/>
    <x v="4"/>
    <s v="No"/>
    <n v="1"/>
    <s v="0-1 Miles"/>
    <x v="2"/>
    <n v="38"/>
    <s v="Middle Age"/>
    <s v="Yes"/>
    <n v="0"/>
    <x v="0"/>
    <x v="1"/>
    <s v="Yes"/>
  </r>
  <r>
    <n v="25041"/>
    <s v="Single"/>
    <x v="1"/>
    <n v="40000"/>
    <n v="0"/>
    <s v="High School"/>
    <x v="0"/>
    <s v="Yes"/>
    <n v="2"/>
    <s v="5-10 Miles"/>
    <x v="2"/>
    <n v="31"/>
    <s v="Middle Age"/>
    <s v="No"/>
    <n v="0"/>
    <x v="0"/>
    <x v="0"/>
    <s v="No"/>
  </r>
  <r>
    <n v="22046"/>
    <s v="Single"/>
    <x v="0"/>
    <n v="80000"/>
    <n v="0"/>
    <s v="Bachelors"/>
    <x v="4"/>
    <s v="No"/>
    <n v="1"/>
    <s v="0-1 Miles"/>
    <x v="2"/>
    <n v="38"/>
    <s v="Middle Age"/>
    <s v="Yes"/>
    <n v="0"/>
    <x v="0"/>
    <x v="1"/>
    <s v="Yes"/>
  </r>
  <r>
    <n v="28052"/>
    <s v="Married"/>
    <x v="1"/>
    <n v="60000"/>
    <n v="2"/>
    <s v="High School"/>
    <x v="2"/>
    <s v="Yes"/>
    <n v="2"/>
    <s v="10+ Miles"/>
    <x v="2"/>
    <n v="55"/>
    <s v="Old"/>
    <s v="No"/>
    <n v="0"/>
    <x v="1"/>
    <x v="0"/>
    <s v="No"/>
  </r>
  <r>
    <n v="26693"/>
    <s v="Married"/>
    <x v="1"/>
    <n v="70000"/>
    <n v="3"/>
    <s v="Partial College"/>
    <x v="2"/>
    <s v="Yes"/>
    <n v="1"/>
    <s v="5-10 Miles"/>
    <x v="2"/>
    <n v="49"/>
    <s v="Middle Age"/>
    <s v="No"/>
    <n v="0"/>
    <x v="1"/>
    <x v="0"/>
    <s v="No"/>
  </r>
  <r>
    <n v="24955"/>
    <s v="Single"/>
    <x v="1"/>
    <n v="30000"/>
    <n v="5"/>
    <s v="Partial High School"/>
    <x v="0"/>
    <s v="Yes"/>
    <n v="3"/>
    <s v="10+ Miles"/>
    <x v="2"/>
    <n v="60"/>
    <s v="Old"/>
    <s v="Yes"/>
    <n v="0"/>
    <x v="1"/>
    <x v="0"/>
    <s v="Yes"/>
  </r>
  <r>
    <n v="26065"/>
    <s v="Single"/>
    <x v="0"/>
    <n v="110000"/>
    <n v="3"/>
    <s v="Bachelors"/>
    <x v="4"/>
    <s v="No"/>
    <n v="4"/>
    <s v="1-2 Miles"/>
    <x v="2"/>
    <n v="42"/>
    <s v="Middle Age"/>
    <s v="No"/>
    <n v="0"/>
    <x v="0"/>
    <x v="1"/>
    <s v="No"/>
  </r>
  <r>
    <n v="13942"/>
    <s v="Married"/>
    <x v="1"/>
    <n v="60000"/>
    <n v="1"/>
    <s v="Partial College"/>
    <x v="0"/>
    <s v="Yes"/>
    <n v="1"/>
    <s v="0-1 Miles"/>
    <x v="2"/>
    <n v="46"/>
    <s v="Middle Age"/>
    <s v="No"/>
    <n v="0"/>
    <x v="1"/>
    <x v="0"/>
    <s v="No"/>
  </r>
  <r>
    <n v="11219"/>
    <s v="Married"/>
    <x v="1"/>
    <n v="60000"/>
    <n v="2"/>
    <s v="High School"/>
    <x v="2"/>
    <s v="Yes"/>
    <n v="2"/>
    <s v="10+ Miles"/>
    <x v="2"/>
    <n v="55"/>
    <s v="Old"/>
    <s v="No"/>
    <n v="0"/>
    <x v="1"/>
    <x v="0"/>
    <s v="No"/>
  </r>
  <r>
    <n v="22118"/>
    <s v="Single"/>
    <x v="0"/>
    <n v="70000"/>
    <n v="3"/>
    <s v="Graduate Degree"/>
    <x v="4"/>
    <s v="Yes"/>
    <n v="2"/>
    <s v="5-10 Miles"/>
    <x v="2"/>
    <n v="53"/>
    <s v="Middle Age"/>
    <s v="Yes"/>
    <n v="0"/>
    <x v="1"/>
    <x v="0"/>
    <s v="Yes"/>
  </r>
  <r>
    <n v="23197"/>
    <s v="Married"/>
    <x v="1"/>
    <n v="50000"/>
    <n v="3"/>
    <s v="Bachelors"/>
    <x v="0"/>
    <s v="Yes"/>
    <n v="2"/>
    <s v="2-5 Miles"/>
    <x v="2"/>
    <n v="40"/>
    <s v="Middle Age"/>
    <s v="No"/>
    <n v="0"/>
    <x v="0"/>
    <x v="0"/>
    <s v="No"/>
  </r>
  <r>
    <n v="14883"/>
    <s v="Married"/>
    <x v="0"/>
    <n v="30000"/>
    <n v="1"/>
    <s v="Bachelors"/>
    <x v="0"/>
    <s v="Yes"/>
    <n v="1"/>
    <s v="5-10 Miles"/>
    <x v="2"/>
    <n v="53"/>
    <s v="Middle Age"/>
    <s v="Yes"/>
    <n v="0"/>
    <x v="1"/>
    <x v="0"/>
    <s v="Yes"/>
  </r>
  <r>
    <n v="27279"/>
    <s v="Single"/>
    <x v="0"/>
    <n v="70000"/>
    <n v="2"/>
    <s v="Bachelors"/>
    <x v="0"/>
    <s v="Yes"/>
    <n v="0"/>
    <s v="2-5 Miles"/>
    <x v="2"/>
    <n v="38"/>
    <s v="Middle Age"/>
    <s v="Yes"/>
    <n v="0"/>
    <x v="0"/>
    <x v="0"/>
    <s v="Yes"/>
  </r>
  <r>
    <n v="18322"/>
    <s v="Single"/>
    <x v="1"/>
    <n v="30000"/>
    <n v="0"/>
    <s v="Partial High School"/>
    <x v="1"/>
    <s v="No"/>
    <n v="2"/>
    <s v="0-1 Miles"/>
    <x v="2"/>
    <n v="26"/>
    <s v="Adolescent"/>
    <s v="No"/>
    <n v="0"/>
    <x v="3"/>
    <x v="0"/>
    <s v="No"/>
  </r>
  <r>
    <n v="15879"/>
    <s v="Married"/>
    <x v="1"/>
    <n v="70000"/>
    <n v="5"/>
    <s v="Bachelors"/>
    <x v="4"/>
    <s v="Yes"/>
    <n v="2"/>
    <s v="2-5 Miles"/>
    <x v="2"/>
    <n v="61"/>
    <s v="Old"/>
    <s v="No"/>
    <n v="0"/>
    <x v="2"/>
    <x v="0"/>
    <s v="No"/>
  </r>
  <r>
    <n v="28278"/>
    <s v="Married"/>
    <x v="1"/>
    <n v="50000"/>
    <n v="2"/>
    <s v="Graduate Degree"/>
    <x v="4"/>
    <s v="Yes"/>
    <n v="2"/>
    <s v="5-10 Miles"/>
    <x v="2"/>
    <n v="71"/>
    <s v="Old"/>
    <s v="No"/>
    <n v="0"/>
    <x v="2"/>
    <x v="0"/>
    <s v="No"/>
  </r>
  <r>
    <n v="24416"/>
    <s v="Married"/>
    <x v="1"/>
    <n v="90000"/>
    <n v="4"/>
    <s v="High School"/>
    <x v="2"/>
    <s v="Yes"/>
    <n v="2"/>
    <s v="1-2 Miles"/>
    <x v="2"/>
    <n v="45"/>
    <s v="Middle Age"/>
    <s v="No"/>
    <n v="0"/>
    <x v="0"/>
    <x v="1"/>
    <s v="No"/>
  </r>
  <r>
    <n v="28066"/>
    <s v="Married"/>
    <x v="1"/>
    <n v="80000"/>
    <n v="2"/>
    <s v="Graduate Degree"/>
    <x v="2"/>
    <s v="Yes"/>
    <n v="0"/>
    <s v="0-1 Miles"/>
    <x v="2"/>
    <n v="37"/>
    <s v="Middle Age"/>
    <s v="Yes"/>
    <n v="0"/>
    <x v="0"/>
    <x v="1"/>
    <s v="Yes"/>
  </r>
  <r>
    <n v="11275"/>
    <s v="Married"/>
    <x v="0"/>
    <n v="80000"/>
    <n v="4"/>
    <s v="Graduate Degree"/>
    <x v="4"/>
    <s v="Yes"/>
    <n v="2"/>
    <s v="0-1 Miles"/>
    <x v="2"/>
    <n v="72"/>
    <s v="Old"/>
    <s v="Yes"/>
    <n v="0"/>
    <x v="2"/>
    <x v="1"/>
    <s v="Yes"/>
  </r>
  <r>
    <n v="14872"/>
    <s v="Married"/>
    <x v="1"/>
    <n v="30000"/>
    <n v="0"/>
    <s v="Graduate Degree"/>
    <x v="0"/>
    <s v="Yes"/>
    <n v="0"/>
    <s v="0-1 Miles"/>
    <x v="2"/>
    <n v="32"/>
    <s v="Middle Age"/>
    <s v="No"/>
    <n v="0"/>
    <x v="0"/>
    <x v="0"/>
    <s v="No"/>
  </r>
  <r>
    <n v="16151"/>
    <s v="Married"/>
    <x v="0"/>
    <n v="60000"/>
    <n v="1"/>
    <s v="Bachelors"/>
    <x v="2"/>
    <s v="Yes"/>
    <n v="1"/>
    <s v="2-5 Miles"/>
    <x v="2"/>
    <n v="48"/>
    <s v="Middle Age"/>
    <s v="Yes"/>
    <n v="0"/>
    <x v="1"/>
    <x v="0"/>
    <s v="Yes"/>
  </r>
  <r>
    <n v="19731"/>
    <s v="Married"/>
    <x v="1"/>
    <n v="80000"/>
    <n v="4"/>
    <s v="Graduate Degree"/>
    <x v="4"/>
    <s v="Yes"/>
    <n v="2"/>
    <s v="5-10 Miles"/>
    <x v="2"/>
    <n v="68"/>
    <s v="Old"/>
    <s v="No"/>
    <n v="0"/>
    <x v="2"/>
    <x v="1"/>
    <s v="No"/>
  </r>
  <r>
    <n v="23801"/>
    <s v="Married"/>
    <x v="0"/>
    <n v="20000"/>
    <n v="2"/>
    <s v="Partial High School"/>
    <x v="1"/>
    <s v="Yes"/>
    <n v="2"/>
    <s v="0-1 Miles"/>
    <x v="2"/>
    <n v="49"/>
    <s v="Middle Age"/>
    <s v="No"/>
    <n v="0"/>
    <x v="1"/>
    <x v="2"/>
    <s v="No"/>
  </r>
  <r>
    <n v="11807"/>
    <s v="Married"/>
    <x v="1"/>
    <n v="70000"/>
    <n v="3"/>
    <s v="Graduate Degree"/>
    <x v="2"/>
    <s v="Yes"/>
    <n v="0"/>
    <s v="2-5 Miles"/>
    <x v="2"/>
    <n v="34"/>
    <s v="Middle Age"/>
    <s v="No"/>
    <n v="0"/>
    <x v="0"/>
    <x v="0"/>
    <s v="No"/>
  </r>
  <r>
    <n v="11622"/>
    <s v="Married"/>
    <x v="1"/>
    <n v="50000"/>
    <n v="0"/>
    <s v="Graduate Degree"/>
    <x v="0"/>
    <s v="Yes"/>
    <n v="0"/>
    <s v="0-1 Miles"/>
    <x v="2"/>
    <n v="32"/>
    <s v="Middle Age"/>
    <s v="No"/>
    <n v="0"/>
    <x v="0"/>
    <x v="0"/>
    <s v="No"/>
  </r>
  <r>
    <n v="26597"/>
    <s v="Single"/>
    <x v="0"/>
    <n v="60000"/>
    <n v="4"/>
    <s v="Bachelors"/>
    <x v="0"/>
    <s v="No"/>
    <n v="2"/>
    <s v="0-1 Miles"/>
    <x v="2"/>
    <n v="42"/>
    <s v="Middle Age"/>
    <s v="No"/>
    <n v="0"/>
    <x v="0"/>
    <x v="0"/>
    <s v="No"/>
  </r>
  <r>
    <n v="27074"/>
    <s v="Married"/>
    <x v="0"/>
    <n v="70000"/>
    <n v="1"/>
    <s v="Graduate Degree"/>
    <x v="0"/>
    <s v="Yes"/>
    <n v="0"/>
    <s v="0-1 Miles"/>
    <x v="2"/>
    <n v="35"/>
    <s v="Middle Age"/>
    <s v="Yes"/>
    <n v="0"/>
    <x v="0"/>
    <x v="0"/>
    <s v="Yes"/>
  </r>
  <r>
    <n v="19228"/>
    <s v="Married"/>
    <x v="0"/>
    <n v="40000"/>
    <n v="2"/>
    <s v="Partial College"/>
    <x v="1"/>
    <s v="Yes"/>
    <n v="1"/>
    <s v="0-1 Miles"/>
    <x v="2"/>
    <n v="48"/>
    <s v="Middle Age"/>
    <s v="No"/>
    <n v="0"/>
    <x v="1"/>
    <x v="0"/>
    <s v="No"/>
  </r>
  <r>
    <n v="13415"/>
    <s v="Single"/>
    <x v="1"/>
    <n v="100000"/>
    <n v="1"/>
    <s v="Graduate Degree"/>
    <x v="4"/>
    <s v="Yes"/>
    <n v="3"/>
    <s v="2-5 Miles"/>
    <x v="2"/>
    <n v="73"/>
    <s v="Old"/>
    <s v="Yes"/>
    <n v="0"/>
    <x v="2"/>
    <x v="1"/>
    <s v="Yes"/>
  </r>
  <r>
    <n v="17000"/>
    <s v="Single"/>
    <x v="0"/>
    <n v="70000"/>
    <n v="4"/>
    <s v="Bachelors"/>
    <x v="0"/>
    <s v="Yes"/>
    <n v="2"/>
    <s v="2-5 Miles"/>
    <x v="2"/>
    <n v="43"/>
    <s v="Middle Age"/>
    <s v="Yes"/>
    <n v="0"/>
    <x v="0"/>
    <x v="0"/>
    <s v="Yes"/>
  </r>
  <r>
    <n v="14569"/>
    <s v="Married"/>
    <x v="1"/>
    <n v="60000"/>
    <n v="1"/>
    <s v="Graduate Degree"/>
    <x v="2"/>
    <s v="Yes"/>
    <n v="0"/>
    <s v="0-1 Miles"/>
    <x v="2"/>
    <n v="35"/>
    <s v="Middle Age"/>
    <s v="No"/>
    <n v="0"/>
    <x v="0"/>
    <x v="0"/>
    <s v="No"/>
  </r>
  <r>
    <n v="13873"/>
    <s v="Married"/>
    <x v="1"/>
    <n v="70000"/>
    <n v="3"/>
    <s v="Graduate Degree"/>
    <x v="2"/>
    <s v="Yes"/>
    <n v="0"/>
    <s v="0-1 Miles"/>
    <x v="2"/>
    <n v="35"/>
    <s v="Middle Age"/>
    <s v="Yes"/>
    <n v="0"/>
    <x v="0"/>
    <x v="0"/>
    <s v="Yes"/>
  </r>
  <r>
    <n v="20401"/>
    <s v="Married"/>
    <x v="0"/>
    <n v="50000"/>
    <n v="4"/>
    <s v="Bachelors"/>
    <x v="4"/>
    <s v="Yes"/>
    <n v="2"/>
    <s v="1-2 Miles"/>
    <x v="2"/>
    <n v="64"/>
    <s v="Old"/>
    <s v="Yes"/>
    <n v="0"/>
    <x v="2"/>
    <x v="0"/>
    <s v="Yes"/>
  </r>
  <r>
    <n v="21583"/>
    <s v="Married"/>
    <x v="0"/>
    <n v="50000"/>
    <n v="1"/>
    <s v="Bachelors"/>
    <x v="0"/>
    <s v="Yes"/>
    <n v="0"/>
    <s v="0-1 Miles"/>
    <x v="2"/>
    <n v="34"/>
    <s v="Middle Age"/>
    <s v="Yes"/>
    <n v="0"/>
    <x v="0"/>
    <x v="0"/>
    <s v="Yes"/>
  </r>
  <r>
    <n v="12029"/>
    <s v="Married"/>
    <x v="1"/>
    <n v="30000"/>
    <n v="0"/>
    <s v="Partial High School"/>
    <x v="1"/>
    <s v="No"/>
    <n v="2"/>
    <s v="0-1 Miles"/>
    <x v="2"/>
    <n v="28"/>
    <s v="Adolescent"/>
    <s v="No"/>
    <n v="0"/>
    <x v="3"/>
    <x v="0"/>
    <s v="No"/>
  </r>
  <r>
    <n v="18066"/>
    <s v="Single"/>
    <x v="1"/>
    <n v="70000"/>
    <n v="5"/>
    <s v="Bachelors"/>
    <x v="4"/>
    <s v="Yes"/>
    <n v="3"/>
    <s v="10+ Miles"/>
    <x v="2"/>
    <n v="60"/>
    <s v="Old"/>
    <s v="Yes"/>
    <n v="0"/>
    <x v="1"/>
    <x v="0"/>
    <s v="Yes"/>
  </r>
  <r>
    <n v="28192"/>
    <s v="Married"/>
    <x v="0"/>
    <n v="70000"/>
    <n v="5"/>
    <s v="Graduate Degree"/>
    <x v="2"/>
    <s v="Yes"/>
    <n v="3"/>
    <s v="10+ Miles"/>
    <x v="2"/>
    <n v="46"/>
    <s v="Middle Age"/>
    <s v="No"/>
    <n v="0"/>
    <x v="1"/>
    <x v="0"/>
    <s v="No"/>
  </r>
  <r>
    <n v="16122"/>
    <s v="Married"/>
    <x v="1"/>
    <n v="40000"/>
    <n v="4"/>
    <s v="High School"/>
    <x v="0"/>
    <s v="Yes"/>
    <n v="2"/>
    <s v="0-1 Miles"/>
    <x v="2"/>
    <n v="44"/>
    <s v="Middle Age"/>
    <s v="Yes"/>
    <n v="0"/>
    <x v="0"/>
    <x v="0"/>
    <s v="Yes"/>
  </r>
  <r>
    <n v="18607"/>
    <s v="Single"/>
    <x v="0"/>
    <n v="60000"/>
    <n v="4"/>
    <s v="Bachelors"/>
    <x v="0"/>
    <s v="Yes"/>
    <n v="2"/>
    <s v="2-5 Miles"/>
    <x v="2"/>
    <n v="42"/>
    <s v="Middle Age"/>
    <s v="Yes"/>
    <n v="0"/>
    <x v="0"/>
    <x v="0"/>
    <s v="Yes"/>
  </r>
  <r>
    <n v="28858"/>
    <s v="Single"/>
    <x v="1"/>
    <n v="80000"/>
    <n v="3"/>
    <s v="Bachelors"/>
    <x v="0"/>
    <s v="Yes"/>
    <n v="0"/>
    <s v="2-5 Miles"/>
    <x v="2"/>
    <n v="40"/>
    <s v="Middle Age"/>
    <s v="No"/>
    <n v="0"/>
    <x v="0"/>
    <x v="1"/>
    <s v="No"/>
  </r>
  <r>
    <n v="14432"/>
    <s v="Single"/>
    <x v="1"/>
    <n v="90000"/>
    <n v="4"/>
    <s v="Graduate Degree"/>
    <x v="4"/>
    <s v="Yes"/>
    <n v="1"/>
    <s v="5-10 Miles"/>
    <x v="2"/>
    <n v="73"/>
    <s v="Old"/>
    <s v="No"/>
    <n v="0"/>
    <x v="2"/>
    <x v="1"/>
    <s v="No"/>
  </r>
  <r>
    <n v="26305"/>
    <s v="Single"/>
    <x v="0"/>
    <n v="60000"/>
    <n v="2"/>
    <s v="Bachelors"/>
    <x v="0"/>
    <s v="No"/>
    <n v="0"/>
    <s v="0-1 Miles"/>
    <x v="2"/>
    <n v="36"/>
    <s v="Middle Age"/>
    <s v="Yes"/>
    <n v="0"/>
    <x v="0"/>
    <x v="0"/>
    <s v="Yes"/>
  </r>
  <r>
    <n v="22050"/>
    <s v="Single"/>
    <x v="1"/>
    <n v="90000"/>
    <n v="4"/>
    <s v="Bachelors"/>
    <x v="4"/>
    <s v="Yes"/>
    <n v="1"/>
    <s v="1-2 Miles"/>
    <x v="2"/>
    <n v="38"/>
    <s v="Middle Age"/>
    <s v="Yes"/>
    <n v="0"/>
    <x v="0"/>
    <x v="1"/>
    <s v="Yes"/>
  </r>
  <r>
    <n v="25394"/>
    <s v="Married"/>
    <x v="1"/>
    <n v="60000"/>
    <n v="1"/>
    <s v="Graduate Degree"/>
    <x v="2"/>
    <s v="Yes"/>
    <n v="0"/>
    <s v="2-5 Miles"/>
    <x v="2"/>
    <n v="34"/>
    <s v="Middle Age"/>
    <s v="Yes"/>
    <n v="0"/>
    <x v="0"/>
    <x v="0"/>
    <s v="Yes"/>
  </r>
  <r>
    <n v="19747"/>
    <s v="Married"/>
    <x v="1"/>
    <n v="50000"/>
    <n v="4"/>
    <s v="Bachelors"/>
    <x v="4"/>
    <s v="Yes"/>
    <n v="2"/>
    <s v="10+ Miles"/>
    <x v="2"/>
    <n v="63"/>
    <s v="Old"/>
    <s v="No"/>
    <n v="0"/>
    <x v="2"/>
    <x v="0"/>
    <s v="No"/>
  </r>
  <r>
    <n v="23195"/>
    <s v="Single"/>
    <x v="1"/>
    <n v="50000"/>
    <n v="3"/>
    <s v="Bachelors"/>
    <x v="0"/>
    <s v="Yes"/>
    <n v="2"/>
    <s v="2-5 Miles"/>
    <x v="2"/>
    <n v="41"/>
    <s v="Middle Age"/>
    <s v="Yes"/>
    <n v="0"/>
    <x v="0"/>
    <x v="0"/>
    <s v="Yes"/>
  </r>
  <r>
    <n v="21695"/>
    <s v="Married"/>
    <x v="1"/>
    <n v="60000"/>
    <n v="0"/>
    <s v="Graduate Degree"/>
    <x v="0"/>
    <s v="Yes"/>
    <n v="0"/>
    <s v="1-2 Miles"/>
    <x v="2"/>
    <n v="39"/>
    <s v="Middle Age"/>
    <s v="Yes"/>
    <n v="0"/>
    <x v="0"/>
    <x v="0"/>
    <s v="Yes"/>
  </r>
  <r>
    <n v="13934"/>
    <s v="Married"/>
    <x v="1"/>
    <n v="40000"/>
    <n v="4"/>
    <s v="High School"/>
    <x v="0"/>
    <s v="Yes"/>
    <n v="2"/>
    <s v="2-5 Miles"/>
    <x v="2"/>
    <n v="46"/>
    <s v="Middle Age"/>
    <s v="No"/>
    <n v="0"/>
    <x v="1"/>
    <x v="0"/>
    <s v="No"/>
  </r>
  <r>
    <n v="13337"/>
    <s v="Married"/>
    <x v="0"/>
    <n v="80000"/>
    <n v="5"/>
    <s v="Bachelors"/>
    <x v="4"/>
    <s v="Yes"/>
    <n v="2"/>
    <s v="5-10 Miles"/>
    <x v="2"/>
    <n v="64"/>
    <s v="Old"/>
    <s v="No"/>
    <n v="0"/>
    <x v="2"/>
    <x v="1"/>
    <s v="No"/>
  </r>
  <r>
    <n v="27190"/>
    <s v="Married"/>
    <x v="0"/>
    <n v="40000"/>
    <n v="3"/>
    <s v="Partial College"/>
    <x v="1"/>
    <s v="Yes"/>
    <n v="1"/>
    <s v="1-2 Miles"/>
    <x v="2"/>
    <n v="32"/>
    <s v="Middle Age"/>
    <s v="No"/>
    <n v="0"/>
    <x v="0"/>
    <x v="0"/>
    <s v="No"/>
  </r>
  <r>
    <n v="28657"/>
    <s v="Single"/>
    <x v="1"/>
    <n v="60000"/>
    <n v="2"/>
    <s v="Bachelors"/>
    <x v="0"/>
    <s v="Yes"/>
    <n v="0"/>
    <s v="2-5 Miles"/>
    <x v="2"/>
    <n v="36"/>
    <s v="Middle Age"/>
    <s v="Yes"/>
    <n v="0"/>
    <x v="0"/>
    <x v="0"/>
    <s v="Yes"/>
  </r>
  <r>
    <n v="21713"/>
    <s v="Single"/>
    <x v="1"/>
    <n v="80000"/>
    <n v="5"/>
    <s v="Graduate Degree"/>
    <x v="0"/>
    <s v="No"/>
    <n v="0"/>
    <s v="0-1 Miles"/>
    <x v="2"/>
    <n v="47"/>
    <s v="Middle Age"/>
    <s v="No"/>
    <n v="0"/>
    <x v="1"/>
    <x v="1"/>
    <s v="No"/>
  </r>
  <r>
    <n v="21752"/>
    <s v="Married"/>
    <x v="1"/>
    <n v="60000"/>
    <n v="3"/>
    <s v="Graduate Degree"/>
    <x v="4"/>
    <s v="Yes"/>
    <n v="2"/>
    <s v="10+ Miles"/>
    <x v="2"/>
    <n v="64"/>
    <s v="Old"/>
    <s v="No"/>
    <n v="0"/>
    <x v="2"/>
    <x v="0"/>
    <s v="No"/>
  </r>
  <r>
    <n v="27273"/>
    <s v="Single"/>
    <x v="1"/>
    <n v="70000"/>
    <n v="3"/>
    <s v="Graduate Degree"/>
    <x v="2"/>
    <s v="No"/>
    <n v="0"/>
    <s v="0-1 Miles"/>
    <x v="2"/>
    <n v="35"/>
    <s v="Middle Age"/>
    <s v="Yes"/>
    <n v="0"/>
    <x v="0"/>
    <x v="0"/>
    <s v="Yes"/>
  </r>
  <r>
    <n v="22719"/>
    <s v="Single"/>
    <x v="1"/>
    <n v="110000"/>
    <n v="3"/>
    <s v="Bachelors"/>
    <x v="4"/>
    <s v="Yes"/>
    <n v="4"/>
    <s v="2-5 Miles"/>
    <x v="2"/>
    <n v="40"/>
    <s v="Middle Age"/>
    <s v="Yes"/>
    <n v="0"/>
    <x v="0"/>
    <x v="1"/>
    <s v="Yes"/>
  </r>
  <r>
    <n v="22042"/>
    <s v="Married"/>
    <x v="0"/>
    <n v="70000"/>
    <n v="0"/>
    <s v="Partial College"/>
    <x v="0"/>
    <s v="Yes"/>
    <n v="2"/>
    <s v="5-10 Miles"/>
    <x v="2"/>
    <n v="34"/>
    <s v="Middle Age"/>
    <s v="Yes"/>
    <n v="0"/>
    <x v="0"/>
    <x v="0"/>
    <s v="Yes"/>
  </r>
  <r>
    <n v="21451"/>
    <s v="Married"/>
    <x v="0"/>
    <n v="40000"/>
    <n v="4"/>
    <s v="High School"/>
    <x v="2"/>
    <s v="Yes"/>
    <n v="2"/>
    <s v="10+ Miles"/>
    <x v="2"/>
    <n v="61"/>
    <s v="Old"/>
    <s v="No"/>
    <n v="0"/>
    <x v="2"/>
    <x v="0"/>
    <s v="No"/>
  </r>
  <r>
    <n v="20754"/>
    <s v="Married"/>
    <x v="1"/>
    <n v="30000"/>
    <n v="2"/>
    <s v="High School"/>
    <x v="0"/>
    <s v="Yes"/>
    <n v="2"/>
    <s v="1-2 Miles"/>
    <x v="2"/>
    <n v="51"/>
    <s v="Middle Age"/>
    <s v="No"/>
    <n v="0"/>
    <x v="1"/>
    <x v="0"/>
    <s v="No"/>
  </r>
  <r>
    <n v="12153"/>
    <s v="Single"/>
    <x v="0"/>
    <n v="70000"/>
    <n v="3"/>
    <s v="Partial College"/>
    <x v="2"/>
    <s v="Yes"/>
    <n v="1"/>
    <s v="5-10 Miles"/>
    <x v="2"/>
    <n v="49"/>
    <s v="Middle Age"/>
    <s v="Yes"/>
    <n v="0"/>
    <x v="1"/>
    <x v="0"/>
    <s v="Yes"/>
  </r>
  <r>
    <n v="16895"/>
    <s v="Married"/>
    <x v="0"/>
    <n v="40000"/>
    <n v="3"/>
    <s v="Partial College"/>
    <x v="2"/>
    <s v="No"/>
    <n v="2"/>
    <s v="1-2 Miles"/>
    <x v="2"/>
    <n v="54"/>
    <s v="Middle Age"/>
    <s v="Yes"/>
    <n v="0"/>
    <x v="1"/>
    <x v="0"/>
    <s v="Yes"/>
  </r>
  <r>
    <n v="26728"/>
    <s v="Single"/>
    <x v="1"/>
    <n v="70000"/>
    <n v="3"/>
    <s v="Graduate Degree"/>
    <x v="4"/>
    <s v="No"/>
    <n v="2"/>
    <s v="1-2 Miles"/>
    <x v="2"/>
    <n v="53"/>
    <s v="Middle Age"/>
    <s v="Yes"/>
    <n v="0"/>
    <x v="1"/>
    <x v="0"/>
    <s v="Yes"/>
  </r>
  <r>
    <n v="11090"/>
    <s v="Single"/>
    <x v="1"/>
    <n v="90000"/>
    <n v="2"/>
    <s v="Partial College"/>
    <x v="2"/>
    <s v="Yes"/>
    <n v="1"/>
    <s v="2-5 Miles"/>
    <x v="2"/>
    <n v="48"/>
    <s v="Middle Age"/>
    <s v="Yes"/>
    <n v="0"/>
    <x v="1"/>
    <x v="1"/>
    <s v="Yes"/>
  </r>
  <r>
    <n v="15862"/>
    <s v="Single"/>
    <x v="0"/>
    <n v="50000"/>
    <n v="0"/>
    <s v="Graduate Degree"/>
    <x v="0"/>
    <s v="Yes"/>
    <n v="0"/>
    <s v="1-2 Miles"/>
    <x v="2"/>
    <n v="33"/>
    <s v="Middle Age"/>
    <s v="Yes"/>
    <n v="0"/>
    <x v="0"/>
    <x v="0"/>
    <s v="Yes"/>
  </r>
  <r>
    <n v="26495"/>
    <s v="Single"/>
    <x v="0"/>
    <n v="40000"/>
    <n v="2"/>
    <s v="High School"/>
    <x v="2"/>
    <s v="Yes"/>
    <n v="2"/>
    <s v="10+ Miles"/>
    <x v="2"/>
    <n v="57"/>
    <s v="Old"/>
    <s v="No"/>
    <n v="0"/>
    <x v="1"/>
    <x v="0"/>
    <s v="No"/>
  </r>
  <r>
    <n v="11823"/>
    <s v="Married"/>
    <x v="0"/>
    <n v="70000"/>
    <n v="0"/>
    <s v="Graduate Degree"/>
    <x v="2"/>
    <s v="Yes"/>
    <n v="0"/>
    <s v="2-5 Miles"/>
    <x v="2"/>
    <n v="39"/>
    <s v="Middle Age"/>
    <s v="No"/>
    <n v="0"/>
    <x v="0"/>
    <x v="0"/>
    <s v="No"/>
  </r>
  <r>
    <n v="23449"/>
    <s v="Married"/>
    <x v="1"/>
    <n v="60000"/>
    <n v="2"/>
    <s v="High School"/>
    <x v="2"/>
    <s v="Yes"/>
    <n v="2"/>
    <s v="5-10 Miles"/>
    <x v="2"/>
    <n v="48"/>
    <s v="Middle Age"/>
    <s v="No"/>
    <n v="0"/>
    <x v="1"/>
    <x v="0"/>
    <s v="No"/>
  </r>
  <r>
    <n v="23459"/>
    <s v="Married"/>
    <x v="1"/>
    <n v="60000"/>
    <n v="2"/>
    <s v="High School"/>
    <x v="2"/>
    <s v="Yes"/>
    <n v="2"/>
    <s v="5-10 Miles"/>
    <x v="2"/>
    <n v="50"/>
    <s v="Middle Age"/>
    <s v="No"/>
    <n v="0"/>
    <x v="1"/>
    <x v="0"/>
    <s v="No"/>
  </r>
  <r>
    <n v="19543"/>
    <s v="Married"/>
    <x v="1"/>
    <n v="70000"/>
    <n v="5"/>
    <s v="Graduate Degree"/>
    <x v="2"/>
    <s v="No"/>
    <n v="3"/>
    <s v="10+ Miles"/>
    <x v="2"/>
    <n v="47"/>
    <s v="Middle Age"/>
    <s v="No"/>
    <n v="0"/>
    <x v="1"/>
    <x v="0"/>
    <s v="No"/>
  </r>
  <r>
    <n v="14914"/>
    <s v="Married"/>
    <x v="0"/>
    <n v="40000"/>
    <n v="1"/>
    <s v="Partial College"/>
    <x v="1"/>
    <s v="Yes"/>
    <n v="1"/>
    <s v="1-2 Miles"/>
    <x v="2"/>
    <n v="49"/>
    <s v="Middle Age"/>
    <s v="Yes"/>
    <n v="0"/>
    <x v="1"/>
    <x v="0"/>
    <s v="Yes"/>
  </r>
  <r>
    <n v="12033"/>
    <s v="Single"/>
    <x v="0"/>
    <n v="40000"/>
    <n v="0"/>
    <s v="High School"/>
    <x v="0"/>
    <s v="No"/>
    <n v="2"/>
    <s v="0-1 Miles"/>
    <x v="2"/>
    <n v="27"/>
    <s v="Adolescent"/>
    <s v="Yes"/>
    <n v="0"/>
    <x v="3"/>
    <x v="0"/>
    <s v="Yes"/>
  </r>
  <r>
    <n v="11941"/>
    <s v="Single"/>
    <x v="1"/>
    <n v="60000"/>
    <n v="0"/>
    <s v="Partial College"/>
    <x v="0"/>
    <s v="Yes"/>
    <n v="0"/>
    <s v="5-10 Miles"/>
    <x v="2"/>
    <n v="29"/>
    <s v="Adolescent"/>
    <s v="No"/>
    <n v="0"/>
    <x v="3"/>
    <x v="0"/>
    <s v="No"/>
  </r>
  <r>
    <n v="14389"/>
    <s v="Married"/>
    <x v="1"/>
    <n v="60000"/>
    <n v="2"/>
    <s v="Bachelors"/>
    <x v="4"/>
    <s v="Yes"/>
    <n v="0"/>
    <s v="2-5 Miles"/>
    <x v="2"/>
    <n v="59"/>
    <s v="Old"/>
    <s v="No"/>
    <n v="0"/>
    <x v="1"/>
    <x v="0"/>
    <s v="No"/>
  </r>
  <r>
    <n v="18050"/>
    <s v="Married"/>
    <x v="0"/>
    <n v="60000"/>
    <n v="1"/>
    <s v="Partial College"/>
    <x v="0"/>
    <s v="Yes"/>
    <n v="1"/>
    <s v="0-1 Miles"/>
    <x v="2"/>
    <n v="45"/>
    <s v="Middle Age"/>
    <s v="Yes"/>
    <n v="0"/>
    <x v="0"/>
    <x v="0"/>
    <s v="Yes"/>
  </r>
  <r>
    <n v="19856"/>
    <s v="Married"/>
    <x v="0"/>
    <n v="60000"/>
    <n v="4"/>
    <s v="Bachelors"/>
    <x v="4"/>
    <s v="Yes"/>
    <n v="2"/>
    <s v="2-5 Miles"/>
    <x v="2"/>
    <n v="60"/>
    <s v="Old"/>
    <s v="No"/>
    <n v="0"/>
    <x v="1"/>
    <x v="0"/>
    <s v="No"/>
  </r>
  <r>
    <n v="11663"/>
    <s v="Married"/>
    <x v="1"/>
    <n v="70000"/>
    <n v="4"/>
    <s v="Graduate Degree"/>
    <x v="2"/>
    <s v="Yes"/>
    <n v="0"/>
    <s v="0-1 Miles"/>
    <x v="2"/>
    <n v="36"/>
    <s v="Middle Age"/>
    <s v="Yes"/>
    <n v="0"/>
    <x v="0"/>
    <x v="0"/>
    <s v="Yes"/>
  </r>
  <r>
    <n v="27740"/>
    <s v="Married"/>
    <x v="0"/>
    <n v="40000"/>
    <n v="0"/>
    <s v="High School"/>
    <x v="0"/>
    <s v="Yes"/>
    <n v="2"/>
    <s v="5-10 Miles"/>
    <x v="2"/>
    <n v="27"/>
    <s v="Adolescent"/>
    <s v="No"/>
    <n v="0"/>
    <x v="3"/>
    <x v="0"/>
    <s v="No"/>
  </r>
  <r>
    <n v="23455"/>
    <s v="Single"/>
    <x v="1"/>
    <n v="80000"/>
    <n v="2"/>
    <s v="Partial High School"/>
    <x v="0"/>
    <s v="No"/>
    <n v="2"/>
    <s v="1-2 Miles"/>
    <x v="2"/>
    <n v="50"/>
    <s v="Middle Age"/>
    <s v="No"/>
    <n v="0"/>
    <x v="1"/>
    <x v="1"/>
    <s v="No"/>
  </r>
  <r>
    <n v="15292"/>
    <s v="Single"/>
    <x v="0"/>
    <n v="60000"/>
    <n v="1"/>
    <s v="Graduate Degree"/>
    <x v="0"/>
    <s v="Yes"/>
    <n v="0"/>
    <s v="1-2 Miles"/>
    <x v="2"/>
    <n v="35"/>
    <s v="Middle Age"/>
    <s v="No"/>
    <n v="0"/>
    <x v="0"/>
    <x v="0"/>
    <s v="No"/>
  </r>
  <r>
    <n v="21587"/>
    <s v="Married"/>
    <x v="0"/>
    <n v="60000"/>
    <n v="1"/>
    <s v="Graduate Degree"/>
    <x v="0"/>
    <s v="Yes"/>
    <n v="0"/>
    <s v="2-5 Miles"/>
    <x v="2"/>
    <n v="34"/>
    <s v="Middle Age"/>
    <s v="Yes"/>
    <n v="0"/>
    <x v="0"/>
    <x v="0"/>
    <s v="Yes"/>
  </r>
  <r>
    <n v="23513"/>
    <s v="Married"/>
    <x v="0"/>
    <n v="40000"/>
    <n v="3"/>
    <s v="Partial College"/>
    <x v="2"/>
    <s v="Yes"/>
    <n v="2"/>
    <s v="5-10 Miles"/>
    <x v="2"/>
    <n v="54"/>
    <s v="Middle Age"/>
    <s v="No"/>
    <n v="0"/>
    <x v="1"/>
    <x v="0"/>
    <s v="No"/>
  </r>
  <r>
    <n v="24322"/>
    <s v="Married"/>
    <x v="0"/>
    <n v="60000"/>
    <n v="4"/>
    <s v="Bachelors"/>
    <x v="0"/>
    <s v="No"/>
    <n v="2"/>
    <s v="0-1 Miles"/>
    <x v="2"/>
    <n v="42"/>
    <s v="Middle Age"/>
    <s v="No"/>
    <n v="0"/>
    <x v="0"/>
    <x v="0"/>
    <s v="No"/>
  </r>
  <r>
    <n v="26298"/>
    <s v="Married"/>
    <x v="0"/>
    <n v="50000"/>
    <n v="1"/>
    <s v="Bachelors"/>
    <x v="0"/>
    <s v="Yes"/>
    <n v="0"/>
    <s v="2-5 Miles"/>
    <x v="2"/>
    <n v="34"/>
    <s v="Middle Age"/>
    <s v="Yes"/>
    <n v="0"/>
    <x v="0"/>
    <x v="0"/>
    <s v="Yes"/>
  </r>
  <r>
    <n v="25419"/>
    <s v="Single"/>
    <x v="1"/>
    <n v="50000"/>
    <n v="2"/>
    <s v="Bachelors"/>
    <x v="0"/>
    <s v="No"/>
    <n v="1"/>
    <s v="0-1 Miles"/>
    <x v="2"/>
    <n v="38"/>
    <s v="Middle Age"/>
    <s v="Yes"/>
    <n v="0"/>
    <x v="0"/>
    <x v="0"/>
    <s v="Yes"/>
  </r>
  <r>
    <n v="13343"/>
    <s v="Married"/>
    <x v="0"/>
    <n v="90000"/>
    <n v="5"/>
    <s v="Bachelors"/>
    <x v="4"/>
    <s v="Yes"/>
    <n v="2"/>
    <s v="1-2 Miles"/>
    <x v="2"/>
    <n v="63"/>
    <s v="Old"/>
    <s v="Yes"/>
    <n v="0"/>
    <x v="2"/>
    <x v="1"/>
    <s v="Yes"/>
  </r>
  <r>
    <n v="11303"/>
    <s v="Single"/>
    <x v="0"/>
    <n v="90000"/>
    <n v="4"/>
    <s v="High School"/>
    <x v="2"/>
    <s v="No"/>
    <n v="3"/>
    <s v="1-2 Miles"/>
    <x v="2"/>
    <n v="45"/>
    <s v="Middle Age"/>
    <s v="Yes"/>
    <n v="0"/>
    <x v="0"/>
    <x v="1"/>
    <s v="Yes"/>
  </r>
  <r>
    <n v="21693"/>
    <s v="Single"/>
    <x v="0"/>
    <n v="60000"/>
    <n v="0"/>
    <s v="Graduate Degree"/>
    <x v="0"/>
    <s v="No"/>
    <n v="0"/>
    <s v="0-1 Miles"/>
    <x v="2"/>
    <n v="40"/>
    <s v="Middle Age"/>
    <s v="No"/>
    <n v="0"/>
    <x v="0"/>
    <x v="0"/>
    <s v="No"/>
  </r>
  <r>
    <n v="28056"/>
    <s v="Married"/>
    <x v="1"/>
    <n v="70000"/>
    <n v="2"/>
    <s v="Partial High School"/>
    <x v="0"/>
    <s v="Yes"/>
    <n v="2"/>
    <s v="10+ Miles"/>
    <x v="2"/>
    <n v="53"/>
    <s v="Middle Age"/>
    <s v="No"/>
    <n v="0"/>
    <x v="1"/>
    <x v="0"/>
    <s v="No"/>
  </r>
  <r>
    <n v="11788"/>
    <s v="Single"/>
    <x v="0"/>
    <n v="70000"/>
    <n v="1"/>
    <s v="Graduate Degree"/>
    <x v="2"/>
    <s v="Yes"/>
    <n v="0"/>
    <s v="2-5 Miles"/>
    <x v="2"/>
    <n v="34"/>
    <s v="Middle Age"/>
    <s v="No"/>
    <n v="0"/>
    <x v="0"/>
    <x v="0"/>
    <s v="No"/>
  </r>
  <r>
    <n v="22296"/>
    <s v="Married"/>
    <x v="1"/>
    <n v="70000"/>
    <n v="0"/>
    <s v="Bachelors"/>
    <x v="2"/>
    <s v="No"/>
    <n v="1"/>
    <s v="0-1 Miles"/>
    <x v="2"/>
    <n v="38"/>
    <s v="Middle Age"/>
    <s v="No"/>
    <n v="0"/>
    <x v="0"/>
    <x v="0"/>
    <s v="No"/>
  </r>
  <r>
    <n v="15319"/>
    <s v="Married"/>
    <x v="0"/>
    <n v="70000"/>
    <n v="4"/>
    <s v="Bachelors"/>
    <x v="4"/>
    <s v="No"/>
    <n v="1"/>
    <s v="1-2 Miles"/>
    <x v="2"/>
    <n v="59"/>
    <s v="Old"/>
    <s v="No"/>
    <n v="0"/>
    <x v="1"/>
    <x v="0"/>
    <s v="No"/>
  </r>
  <r>
    <n v="17654"/>
    <s v="Single"/>
    <x v="0"/>
    <n v="40000"/>
    <n v="3"/>
    <s v="Partial College"/>
    <x v="1"/>
    <s v="Yes"/>
    <n v="1"/>
    <s v="1-2 Miles"/>
    <x v="2"/>
    <n v="30"/>
    <s v="Adolescent"/>
    <s v="Yes"/>
    <n v="0"/>
    <x v="0"/>
    <x v="0"/>
    <s v="Yes"/>
  </r>
  <r>
    <n v="14662"/>
    <s v="Married"/>
    <x v="1"/>
    <n v="60000"/>
    <n v="1"/>
    <s v="Bachelors"/>
    <x v="2"/>
    <s v="Yes"/>
    <n v="1"/>
    <s v="0-1 Miles"/>
    <x v="2"/>
    <n v="48"/>
    <s v="Middle Age"/>
    <s v="Yes"/>
    <n v="0"/>
    <x v="1"/>
    <x v="0"/>
    <s v="Yes"/>
  </r>
  <r>
    <n v="17541"/>
    <s v="Married"/>
    <x v="0"/>
    <n v="40000"/>
    <n v="4"/>
    <s v="High School"/>
    <x v="0"/>
    <s v="Yes"/>
    <n v="2"/>
    <s v="2-5 Miles"/>
    <x v="2"/>
    <n v="43"/>
    <s v="Middle Age"/>
    <s v="No"/>
    <n v="0"/>
    <x v="0"/>
    <x v="0"/>
    <s v="No"/>
  </r>
  <r>
    <n v="13886"/>
    <s v="Married"/>
    <x v="0"/>
    <n v="70000"/>
    <n v="4"/>
    <s v="Graduate Degree"/>
    <x v="2"/>
    <s v="Yes"/>
    <n v="0"/>
    <s v="2-5 Miles"/>
    <x v="2"/>
    <n v="35"/>
    <s v="Middle Age"/>
    <s v="Yes"/>
    <n v="0"/>
    <x v="0"/>
    <x v="0"/>
    <s v="Yes"/>
  </r>
  <r>
    <n v="13073"/>
    <s v="Married"/>
    <x v="0"/>
    <n v="60000"/>
    <n v="0"/>
    <s v="Partial College"/>
    <x v="2"/>
    <s v="Yes"/>
    <n v="2"/>
    <s v="5-10 Miles"/>
    <x v="2"/>
    <n v="30"/>
    <s v="Adolescent"/>
    <s v="No"/>
    <n v="0"/>
    <x v="0"/>
    <x v="0"/>
    <s v="No"/>
  </r>
  <r>
    <n v="21940"/>
    <s v="Married"/>
    <x v="1"/>
    <n v="90000"/>
    <n v="5"/>
    <s v="Graduate Degree"/>
    <x v="2"/>
    <s v="Yes"/>
    <n v="0"/>
    <s v="0-1 Miles"/>
    <x v="2"/>
    <n v="47"/>
    <s v="Middle Age"/>
    <s v="Yes"/>
    <n v="0"/>
    <x v="1"/>
    <x v="1"/>
    <s v="Yes"/>
  </r>
  <r>
    <n v="20196"/>
    <s v="Married"/>
    <x v="1"/>
    <n v="60000"/>
    <n v="1"/>
    <s v="Partial College"/>
    <x v="0"/>
    <s v="Yes"/>
    <n v="1"/>
    <s v="2-5 Miles"/>
    <x v="2"/>
    <n v="45"/>
    <s v="Middle Age"/>
    <s v="Yes"/>
    <n v="0"/>
    <x v="0"/>
    <x v="0"/>
    <s v="Yes"/>
  </r>
  <r>
    <n v="23491"/>
    <s v="Single"/>
    <x v="1"/>
    <n v="100000"/>
    <n v="0"/>
    <s v="Partial College"/>
    <x v="2"/>
    <s v="No"/>
    <n v="4"/>
    <s v="1-2 Miles"/>
    <x v="2"/>
    <n v="45"/>
    <s v="Middle Age"/>
    <s v="No"/>
    <n v="0"/>
    <x v="0"/>
    <x v="1"/>
    <s v="No"/>
  </r>
  <r>
    <n v="16651"/>
    <s v="Married"/>
    <x v="0"/>
    <n v="120000"/>
    <n v="2"/>
    <s v="Bachelors"/>
    <x v="4"/>
    <s v="Yes"/>
    <n v="3"/>
    <s v="5-10 Miles"/>
    <x v="2"/>
    <n v="62"/>
    <s v="Old"/>
    <s v="No"/>
    <n v="0"/>
    <x v="2"/>
    <x v="1"/>
    <s v="No"/>
  </r>
  <r>
    <n v="16813"/>
    <s v="Married"/>
    <x v="1"/>
    <n v="60000"/>
    <n v="2"/>
    <s v="Partial College"/>
    <x v="2"/>
    <s v="Yes"/>
    <n v="2"/>
    <s v="10+ Miles"/>
    <x v="2"/>
    <n v="55"/>
    <s v="Old"/>
    <s v="No"/>
    <n v="0"/>
    <x v="1"/>
    <x v="0"/>
    <s v="No"/>
  </r>
  <r>
    <n v="16007"/>
    <s v="Married"/>
    <x v="0"/>
    <n v="90000"/>
    <n v="5"/>
    <s v="Bachelors"/>
    <x v="4"/>
    <s v="Yes"/>
    <n v="2"/>
    <s v="1-2 Miles"/>
    <x v="2"/>
    <n v="66"/>
    <s v="Old"/>
    <s v="Yes"/>
    <n v="0"/>
    <x v="2"/>
    <x v="1"/>
    <s v="Yes"/>
  </r>
  <r>
    <n v="27434"/>
    <s v="Single"/>
    <x v="1"/>
    <n v="70000"/>
    <n v="4"/>
    <s v="Partial College"/>
    <x v="2"/>
    <s v="Yes"/>
    <n v="1"/>
    <s v="10+ Miles"/>
    <x v="2"/>
    <n v="56"/>
    <s v="Old"/>
    <s v="No"/>
    <n v="0"/>
    <x v="1"/>
    <x v="0"/>
    <s v="No"/>
  </r>
  <r>
    <n v="27756"/>
    <s v="Single"/>
    <x v="0"/>
    <n v="50000"/>
    <n v="3"/>
    <s v="Bachelors"/>
    <x v="0"/>
    <s v="No"/>
    <n v="1"/>
    <s v="0-1 Miles"/>
    <x v="2"/>
    <n v="40"/>
    <s v="Middle Age"/>
    <s v="No"/>
    <n v="0"/>
    <x v="0"/>
    <x v="0"/>
    <s v="No"/>
  </r>
  <r>
    <n v="23818"/>
    <s v="Married"/>
    <x v="0"/>
    <n v="50000"/>
    <n v="0"/>
    <s v="Graduate Degree"/>
    <x v="0"/>
    <s v="Yes"/>
    <n v="0"/>
    <s v="1-2 Miles"/>
    <x v="2"/>
    <n v="33"/>
    <s v="Middle Age"/>
    <s v="Yes"/>
    <n v="0"/>
    <x v="0"/>
    <x v="0"/>
    <s v="Yes"/>
  </r>
  <r>
    <n v="19012"/>
    <s v="Married"/>
    <x v="1"/>
    <n v="80000"/>
    <n v="3"/>
    <s v="Bachelors"/>
    <x v="4"/>
    <s v="Yes"/>
    <n v="1"/>
    <s v="1-2 Miles"/>
    <x v="2"/>
    <n v="56"/>
    <s v="Old"/>
    <s v="No"/>
    <n v="0"/>
    <x v="1"/>
    <x v="1"/>
    <s v="No"/>
  </r>
  <r>
    <n v="18329"/>
    <s v="Single"/>
    <x v="1"/>
    <n v="30000"/>
    <n v="0"/>
    <s v="Partial High School"/>
    <x v="1"/>
    <s v="No"/>
    <n v="2"/>
    <s v="5-10 Miles"/>
    <x v="2"/>
    <n v="27"/>
    <s v="Adolescent"/>
    <s v="No"/>
    <n v="0"/>
    <x v="3"/>
    <x v="0"/>
    <s v="No"/>
  </r>
  <r>
    <n v="29037"/>
    <s v="Married"/>
    <x v="1"/>
    <n v="60000"/>
    <n v="0"/>
    <s v="Graduate Degree"/>
    <x v="2"/>
    <s v="No"/>
    <n v="0"/>
    <s v="0-1 Miles"/>
    <x v="2"/>
    <n v="39"/>
    <s v="Middle Age"/>
    <s v="No"/>
    <n v="0"/>
    <x v="0"/>
    <x v="0"/>
    <s v="No"/>
  </r>
  <r>
    <n v="26576"/>
    <s v="Married"/>
    <x v="0"/>
    <n v="60000"/>
    <n v="0"/>
    <s v="Partial College"/>
    <x v="0"/>
    <s v="Yes"/>
    <n v="2"/>
    <s v="5-10 Miles"/>
    <x v="2"/>
    <n v="31"/>
    <s v="Middle Age"/>
    <s v="No"/>
    <n v="0"/>
    <x v="0"/>
    <x v="0"/>
    <s v="No"/>
  </r>
  <r>
    <n v="12192"/>
    <s v="Single"/>
    <x v="0"/>
    <n v="60000"/>
    <n v="2"/>
    <s v="Partial High School"/>
    <x v="0"/>
    <s v="No"/>
    <n v="2"/>
    <s v="1-2 Miles"/>
    <x v="2"/>
    <n v="51"/>
    <s v="Middle Age"/>
    <s v="No"/>
    <n v="0"/>
    <x v="1"/>
    <x v="0"/>
    <s v="No"/>
  </r>
  <r>
    <n v="14887"/>
    <s v="Married"/>
    <x v="0"/>
    <n v="30000"/>
    <n v="1"/>
    <s v="High School"/>
    <x v="1"/>
    <s v="Yes"/>
    <n v="1"/>
    <s v="5-10 Miles"/>
    <x v="2"/>
    <n v="52"/>
    <s v="Middle Age"/>
    <s v="No"/>
    <n v="0"/>
    <x v="1"/>
    <x v="0"/>
    <s v="No"/>
  </r>
  <r>
    <n v="11734"/>
    <s v="Married"/>
    <x v="1"/>
    <n v="60000"/>
    <n v="1"/>
    <s v="Partial College"/>
    <x v="0"/>
    <s v="No"/>
    <n v="1"/>
    <s v="0-1 Miles"/>
    <x v="2"/>
    <n v="47"/>
    <s v="Middle Age"/>
    <s v="No"/>
    <n v="0"/>
    <x v="1"/>
    <x v="0"/>
    <s v="No"/>
  </r>
  <r>
    <n v="17462"/>
    <s v="Married"/>
    <x v="1"/>
    <n v="70000"/>
    <n v="3"/>
    <s v="Graduate Degree"/>
    <x v="4"/>
    <s v="Yes"/>
    <n v="2"/>
    <s v="5-10 Miles"/>
    <x v="2"/>
    <n v="53"/>
    <s v="Middle Age"/>
    <s v="Yes"/>
    <n v="0"/>
    <x v="1"/>
    <x v="0"/>
    <s v="Yes"/>
  </r>
  <r>
    <n v="20659"/>
    <s v="Married"/>
    <x v="1"/>
    <n v="70000"/>
    <n v="3"/>
    <s v="Graduate Degree"/>
    <x v="2"/>
    <s v="Yes"/>
    <n v="0"/>
    <s v="0-1 Miles"/>
    <x v="2"/>
    <n v="35"/>
    <s v="Middle Age"/>
    <s v="Yes"/>
    <n v="0"/>
    <x v="0"/>
    <x v="0"/>
    <s v="Yes"/>
  </r>
  <r>
    <n v="28004"/>
    <s v="Married"/>
    <x v="0"/>
    <n v="60000"/>
    <n v="3"/>
    <s v="Bachelors"/>
    <x v="4"/>
    <s v="Yes"/>
    <n v="2"/>
    <s v="10+ Miles"/>
    <x v="2"/>
    <n v="66"/>
    <s v="Old"/>
    <s v="No"/>
    <n v="0"/>
    <x v="2"/>
    <x v="0"/>
    <s v="No"/>
  </r>
  <r>
    <n v="19741"/>
    <s v="Single"/>
    <x v="0"/>
    <n v="80000"/>
    <n v="4"/>
    <s v="Graduate Degree"/>
    <x v="4"/>
    <s v="Yes"/>
    <n v="2"/>
    <s v="5-10 Miles"/>
    <x v="2"/>
    <n v="65"/>
    <s v="Old"/>
    <s v="No"/>
    <n v="0"/>
    <x v="2"/>
    <x v="1"/>
    <s v="No"/>
  </r>
  <r>
    <n v="17450"/>
    <s v="Married"/>
    <x v="1"/>
    <n v="80000"/>
    <n v="5"/>
    <s v="Partial College"/>
    <x v="2"/>
    <s v="Yes"/>
    <n v="3"/>
    <s v="5-10 Miles"/>
    <x v="2"/>
    <n v="45"/>
    <s v="Middle Age"/>
    <s v="No"/>
    <n v="0"/>
    <x v="0"/>
    <x v="1"/>
    <s v="No"/>
  </r>
  <r>
    <n v="17337"/>
    <s v="Single"/>
    <x v="1"/>
    <n v="40000"/>
    <n v="0"/>
    <s v="High School"/>
    <x v="0"/>
    <s v="Yes"/>
    <n v="1"/>
    <s v="5-10 Miles"/>
    <x v="2"/>
    <n v="31"/>
    <s v="Middle Age"/>
    <s v="No"/>
    <n v="0"/>
    <x v="0"/>
    <x v="0"/>
    <s v="No"/>
  </r>
  <r>
    <n v="18594"/>
    <s v="Single"/>
    <x v="0"/>
    <n v="80000"/>
    <n v="3"/>
    <s v="Bachelors"/>
    <x v="0"/>
    <s v="Yes"/>
    <n v="3"/>
    <s v="10+ Miles"/>
    <x v="2"/>
    <n v="40"/>
    <s v="Middle Age"/>
    <s v="Yes"/>
    <n v="0"/>
    <x v="0"/>
    <x v="1"/>
    <s v="Yes"/>
  </r>
  <r>
    <n v="15982"/>
    <s v="Married"/>
    <x v="1"/>
    <n v="110000"/>
    <n v="5"/>
    <s v="Partial College"/>
    <x v="2"/>
    <s v="Yes"/>
    <n v="4"/>
    <s v="2-5 Miles"/>
    <x v="2"/>
    <n v="46"/>
    <s v="Middle Age"/>
    <s v="No"/>
    <n v="0"/>
    <x v="1"/>
    <x v="1"/>
    <s v="No"/>
  </r>
  <r>
    <n v="28625"/>
    <s v="Single"/>
    <x v="1"/>
    <n v="40000"/>
    <n v="2"/>
    <s v="Partial College"/>
    <x v="1"/>
    <s v="No"/>
    <n v="1"/>
    <s v="1-2 Miles"/>
    <x v="2"/>
    <n v="47"/>
    <s v="Middle Age"/>
    <s v="Yes"/>
    <n v="0"/>
    <x v="1"/>
    <x v="0"/>
    <s v="Yes"/>
  </r>
  <r>
    <n v="11269"/>
    <s v="Married"/>
    <x v="1"/>
    <n v="130000"/>
    <n v="2"/>
    <s v="Graduate Degree"/>
    <x v="4"/>
    <s v="Yes"/>
    <n v="2"/>
    <s v="0-1 Miles"/>
    <x v="2"/>
    <n v="41"/>
    <s v="Middle Age"/>
    <s v="No"/>
    <n v="0"/>
    <x v="0"/>
    <x v="1"/>
    <s v="No"/>
  </r>
  <r>
    <n v="25148"/>
    <s v="Married"/>
    <x v="1"/>
    <n v="60000"/>
    <n v="2"/>
    <s v="High School"/>
    <x v="2"/>
    <s v="No"/>
    <n v="2"/>
    <s v="1-2 Miles"/>
    <x v="2"/>
    <n v="48"/>
    <s v="Middle Age"/>
    <s v="Yes"/>
    <n v="0"/>
    <x v="1"/>
    <x v="0"/>
    <s v="Yes"/>
  </r>
  <r>
    <n v="13920"/>
    <s v="Single"/>
    <x v="0"/>
    <n v="50000"/>
    <n v="4"/>
    <s v="Bachelors"/>
    <x v="0"/>
    <s v="Yes"/>
    <n v="2"/>
    <s v="0-1 Miles"/>
    <x v="2"/>
    <n v="42"/>
    <s v="Middle Age"/>
    <s v="No"/>
    <n v="0"/>
    <x v="0"/>
    <x v="0"/>
    <s v="No"/>
  </r>
  <r>
    <n v="23704"/>
    <s v="Single"/>
    <x v="1"/>
    <n v="40000"/>
    <n v="5"/>
    <s v="High School"/>
    <x v="2"/>
    <s v="Yes"/>
    <n v="4"/>
    <s v="10+ Miles"/>
    <x v="2"/>
    <n v="60"/>
    <s v="Old"/>
    <s v="Yes"/>
    <n v="0"/>
    <x v="1"/>
    <x v="0"/>
    <s v="Yes"/>
  </r>
  <r>
    <n v="28972"/>
    <s v="Single"/>
    <x v="0"/>
    <n v="60000"/>
    <n v="3"/>
    <s v="Graduate Degree"/>
    <x v="4"/>
    <s v="Yes"/>
    <n v="2"/>
    <s v="10+ Miles"/>
    <x v="2"/>
    <n v="66"/>
    <s v="Old"/>
    <s v="No"/>
    <n v="0"/>
    <x v="2"/>
    <x v="0"/>
    <s v="No"/>
  </r>
  <r>
    <n v="22730"/>
    <s v="Married"/>
    <x v="1"/>
    <n v="70000"/>
    <n v="5"/>
    <s v="Bachelors"/>
    <x v="4"/>
    <s v="Yes"/>
    <n v="2"/>
    <s v="10+ Miles"/>
    <x v="2"/>
    <n v="63"/>
    <s v="Old"/>
    <s v="No"/>
    <n v="0"/>
    <x v="2"/>
    <x v="0"/>
    <s v="No"/>
  </r>
  <r>
    <n v="29134"/>
    <s v="Married"/>
    <x v="1"/>
    <n v="60000"/>
    <n v="4"/>
    <s v="Bachelors"/>
    <x v="0"/>
    <s v="No"/>
    <n v="3"/>
    <s v="10+ Miles"/>
    <x v="2"/>
    <n v="42"/>
    <s v="Middle Age"/>
    <s v="No"/>
    <n v="0"/>
    <x v="0"/>
    <x v="0"/>
    <s v="No"/>
  </r>
  <r>
    <n v="14332"/>
    <s v="Single"/>
    <x v="0"/>
    <n v="30000"/>
    <n v="0"/>
    <s v="High School"/>
    <x v="0"/>
    <s v="No"/>
    <n v="2"/>
    <s v="5-10 Miles"/>
    <x v="2"/>
    <n v="26"/>
    <s v="Adolescent"/>
    <s v="No"/>
    <n v="0"/>
    <x v="3"/>
    <x v="0"/>
    <s v="No"/>
  </r>
  <r>
    <n v="19117"/>
    <s v="Single"/>
    <x v="0"/>
    <n v="60000"/>
    <n v="1"/>
    <s v="Graduate Degree"/>
    <x v="2"/>
    <s v="Yes"/>
    <n v="0"/>
    <s v="2-5 Miles"/>
    <x v="2"/>
    <n v="36"/>
    <s v="Middle Age"/>
    <s v="Yes"/>
    <n v="0"/>
    <x v="0"/>
    <x v="0"/>
    <s v="Yes"/>
  </r>
  <r>
    <n v="22864"/>
    <s v="Married"/>
    <x v="1"/>
    <n v="90000"/>
    <n v="2"/>
    <s v="Partial College"/>
    <x v="2"/>
    <s v="No"/>
    <n v="0"/>
    <s v="5-10 Miles"/>
    <x v="2"/>
    <n v="49"/>
    <s v="Middle Age"/>
    <s v="Yes"/>
    <n v="0"/>
    <x v="1"/>
    <x v="1"/>
    <s v="Yes"/>
  </r>
  <r>
    <n v="11292"/>
    <s v="Single"/>
    <x v="1"/>
    <n v="150000"/>
    <n v="1"/>
    <s v="Partial College"/>
    <x v="2"/>
    <s v="No"/>
    <n v="3"/>
    <s v="0-1 Miles"/>
    <x v="2"/>
    <n v="44"/>
    <s v="Middle Age"/>
    <s v="Yes"/>
    <n v="0"/>
    <x v="0"/>
    <x v="1"/>
    <s v="Yes"/>
  </r>
  <r>
    <n v="13466"/>
    <s v="Married"/>
    <x v="1"/>
    <n v="80000"/>
    <n v="5"/>
    <s v="Partial College"/>
    <x v="2"/>
    <s v="Yes"/>
    <n v="3"/>
    <s v="1-2 Miles"/>
    <x v="2"/>
    <n v="46"/>
    <s v="Middle Age"/>
    <s v="No"/>
    <n v="0"/>
    <x v="1"/>
    <x v="1"/>
    <s v="No"/>
  </r>
  <r>
    <n v="23731"/>
    <s v="Married"/>
    <x v="1"/>
    <n v="60000"/>
    <n v="2"/>
    <s v="High School"/>
    <x v="2"/>
    <s v="Yes"/>
    <n v="2"/>
    <s v="2-5 Miles"/>
    <x v="2"/>
    <n v="54"/>
    <s v="Middle Age"/>
    <s v="Yes"/>
    <n v="0"/>
    <x v="1"/>
    <x v="0"/>
    <s v="Yes"/>
  </r>
  <r>
    <n v="28672"/>
    <s v="Single"/>
    <x v="1"/>
    <n v="70000"/>
    <n v="4"/>
    <s v="Graduate Degree"/>
    <x v="2"/>
    <s v="Yes"/>
    <n v="0"/>
    <s v="2-5 Miles"/>
    <x v="2"/>
    <n v="35"/>
    <s v="Middle Age"/>
    <s v="Yes"/>
    <n v="0"/>
    <x v="0"/>
    <x v="0"/>
    <s v="Yes"/>
  </r>
  <r>
    <n v="11809"/>
    <s v="Married"/>
    <x v="1"/>
    <n v="60000"/>
    <n v="2"/>
    <s v="Bachelors"/>
    <x v="0"/>
    <s v="Yes"/>
    <n v="0"/>
    <s v="0-1 Miles"/>
    <x v="2"/>
    <n v="38"/>
    <s v="Middle Age"/>
    <s v="Yes"/>
    <n v="0"/>
    <x v="0"/>
    <x v="0"/>
    <s v="Yes"/>
  </r>
  <r>
    <n v="19664"/>
    <s v="Single"/>
    <x v="1"/>
    <n v="100000"/>
    <n v="3"/>
    <s v="Bachelors"/>
    <x v="4"/>
    <s v="No"/>
    <n v="3"/>
    <s v="1-2 Miles"/>
    <x v="2"/>
    <n v="38"/>
    <s v="Middle Age"/>
    <s v="No"/>
    <n v="0"/>
    <x v="0"/>
    <x v="1"/>
    <s v="No"/>
  </r>
  <r>
    <n v="12121"/>
    <s v="Single"/>
    <x v="1"/>
    <n v="60000"/>
    <n v="3"/>
    <s v="High School"/>
    <x v="2"/>
    <s v="Yes"/>
    <n v="2"/>
    <s v="10+ Miles"/>
    <x v="2"/>
    <n v="53"/>
    <s v="Middle Age"/>
    <s v="Yes"/>
    <n v="0"/>
    <x v="1"/>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G26" firstHeaderRow="1" firstDataRow="2" firstDataCol="1"/>
  <pivotFields count="18">
    <pivotField showAll="0"/>
    <pivotField showAll="0"/>
    <pivotField showAll="0"/>
    <pivotField numFmtId="165" showAll="0"/>
    <pivotField showAll="0"/>
    <pivotField showAll="0"/>
    <pivotField axis="axisCol"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s>
  <rowFields count="1">
    <field x="16"/>
  </rowFields>
  <rowItems count="4">
    <i>
      <x/>
    </i>
    <i>
      <x v="1"/>
    </i>
    <i>
      <x v="2"/>
    </i>
    <i t="grand">
      <x/>
    </i>
  </rowItems>
  <colFields count="1">
    <field x="6"/>
  </colFields>
  <colItems count="6">
    <i>
      <x/>
    </i>
    <i>
      <x v="1"/>
    </i>
    <i>
      <x v="2"/>
    </i>
    <i>
      <x v="3"/>
    </i>
    <i>
      <x v="4"/>
    </i>
    <i t="grand">
      <x/>
    </i>
  </colItems>
  <dataFields count="1">
    <dataField name="Count of Flag purchase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B14" firstHeaderRow="1" firstDataRow="1" firstDataCol="1"/>
  <pivotFields count="18">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dataField="1" showAll="0"/>
  </pivotFields>
  <rowFields count="1">
    <field x="15"/>
  </rowFields>
  <rowItems count="5">
    <i>
      <x/>
    </i>
    <i>
      <x v="1"/>
    </i>
    <i>
      <x v="2"/>
    </i>
    <i>
      <x v="3"/>
    </i>
    <i t="grand">
      <x/>
    </i>
  </rowItems>
  <colItems count="1">
    <i/>
  </colItems>
  <dataFields count="1">
    <dataField name="Count of Flag purchased" fld="17"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 chart="3" format="9">
      <pivotArea type="data" outline="0" fieldPosition="0">
        <references count="2">
          <reference field="4294967294" count="1" selected="0">
            <x v="0"/>
          </reference>
          <reference field="15" count="1" selected="0">
            <x v="2"/>
          </reference>
        </references>
      </pivotArea>
    </chartFormat>
    <chartFormat chart="3"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D6" firstHeaderRow="1" firstDataRow="2" firstDataCol="1"/>
  <pivotFields count="18">
    <pivotField showAll="0"/>
    <pivotField showAll="0"/>
    <pivotField axis="axisCol" showAll="0">
      <items count="3">
        <item x="0"/>
        <item x="1"/>
        <item t="default"/>
      </items>
    </pivotField>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s>
  <rowFields count="1">
    <field x="10"/>
  </rowFields>
  <rowItems count="4">
    <i>
      <x/>
    </i>
    <i>
      <x v="1"/>
    </i>
    <i>
      <x v="2"/>
    </i>
    <i t="grand">
      <x/>
    </i>
  </rowItems>
  <colFields count="1">
    <field x="2"/>
  </colFields>
  <colItems count="3">
    <i>
      <x/>
    </i>
    <i>
      <x v="1"/>
    </i>
    <i t="grand">
      <x/>
    </i>
  </colItems>
  <dataFields count="1">
    <dataField name="Count of Flag purchased" fld="17"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1:T36" firstHeaderRow="1" firstDataRow="2" firstDataCol="1"/>
  <pivotFields count="18">
    <pivotField showAll="0"/>
    <pivotField showAll="0"/>
    <pivotField showAll="0"/>
    <pivotField numFmtId="165" showAll="0"/>
    <pivotField showAll="0"/>
    <pivotField showAll="0"/>
    <pivotField axis="axisCol"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s>
  <rowFields count="1">
    <field x="16"/>
  </rowFields>
  <rowItems count="4">
    <i>
      <x/>
    </i>
    <i>
      <x v="1"/>
    </i>
    <i>
      <x v="2"/>
    </i>
    <i t="grand">
      <x/>
    </i>
  </rowItems>
  <colFields count="1">
    <field x="6"/>
  </colFields>
  <colItems count="6">
    <i>
      <x/>
    </i>
    <i>
      <x v="1"/>
    </i>
    <i>
      <x v="2"/>
    </i>
    <i>
      <x v="3"/>
    </i>
    <i>
      <x v="4"/>
    </i>
    <i t="grand">
      <x/>
    </i>
  </colItems>
  <dataFields count="1">
    <dataField name="Count of Flag purchased"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tblbuyers].[Region]">
  <data>
    <olap pivotCacheId="1">
      <levels count="2">
        <level uniqueName="[tblbuyers].[Region].[(All)]" sourceCaption="(All)" count="0"/>
        <level uniqueName="[tblbuyers].[Region].[Region]" sourceCaption="Region" count="3">
          <ranges>
            <range startItem="0">
              <i n="[tblbuyers].[Region].&amp;[Europe]" c="Europe"/>
              <i n="[tblbuyers].[Region].&amp;[North America]" c="North America"/>
              <i n="[tblbuyers].[Region].&amp;[Pacific]" c="Pacific"/>
            </range>
          </ranges>
        </level>
      </levels>
      <selections count="1">
        <selection n="[tblbuy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tblbuyers].[Gender]">
  <data>
    <olap pivotCacheId="1">
      <levels count="2">
        <level uniqueName="[tblbuyers].[Gender].[(All)]" sourceCaption="(All)" count="0"/>
        <level uniqueName="[tblbuyers].[Gender].[Gender]" sourceCaption="Gender" count="2">
          <ranges>
            <range startItem="0">
              <i n="[tblbuyers].[Gender].&amp;[Female]" c="Female"/>
              <i n="[tblbuyers].[Gender].&amp;[Male]" c="Male"/>
            </range>
          </ranges>
        </level>
      </levels>
      <selections count="1">
        <selection n="[tblbuyer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come_group" sourceName="[tblbuyers].[Income group]">
  <data>
    <olap pivotCacheId="1">
      <levels count="2">
        <level uniqueName="[tblbuyers].[Income group].[(All)]" sourceCaption="(All)" count="0"/>
        <level uniqueName="[tblbuyers].[Income group].[Income group]" sourceCaption="Income group" count="3">
          <ranges>
            <range startItem="0">
              <i n="[tblbuyers].[Income group].&amp;[High]" c="High"/>
              <i n="[tblbuyers].[Income group].&amp;[Low]" c="Low"/>
              <i n="[tblbuyers].[Income group].&amp;[Medium]" c="Medium"/>
            </range>
          </ranges>
        </level>
      </levels>
      <selections count="1">
        <selection n="[tblbuyers].[Incom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 sourceName="[tblbuyers].[Age group]">
  <data>
    <olap pivotCacheId="1">
      <levels count="2">
        <level uniqueName="[tblbuyers].[Age group].[(All)]" sourceCaption="(All)" count="0"/>
        <level uniqueName="[tblbuyers].[Age group].[Age group]" sourceCaption="Age group" count="4">
          <ranges>
            <range startItem="0">
              <i n="[tblbuyers].[Age group].&amp;[&lt;30]" c="&lt;30"/>
              <i n="[tblbuyers].[Age group].&amp;[30-45]" c="30-45"/>
              <i n="[tblbuyers].[Age group].&amp;[46-60]" c="46-60"/>
              <i n="[tblbuyers].[Age group].&amp;[60+]" c="60+"/>
            </range>
          </ranges>
        </level>
      </levels>
      <selections count="1">
        <selection n="[tblbuyers].[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Gender" cache="Slicer_Gender" caption="Gender" level="1" rowHeight="241300"/>
  <slicer name="Income group" cache="Slicer_Income_group" caption="Income group" level="1" rowHeight="241300"/>
  <slicer name="Age group" cache="Slicer_Age_group" caption="Age group"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level="1" rowHeight="241300"/>
  <slicer name="Gender 1" cache="Slicer_Gender" caption="Gender" level="1" rowHeight="241300"/>
  <slicer name="Income group 1" cache="Slicer_Income_group" caption="Income group" level="1" rowHeight="241300"/>
  <slicer name="Age group 1" cache="Slicer_Age_group" caption="Age group" level="1" rowHeight="241300"/>
</slicers>
</file>

<file path=xl/tables/table1.xml><?xml version="1.0" encoding="utf-8"?>
<table xmlns="http://schemas.openxmlformats.org/spreadsheetml/2006/main" id="1" name="tblbuyers" displayName="tblbuyers" ref="A1:R1001" totalsRowShown="0" headerRowDxfId="5">
  <autoFilter ref="A1:R1001"/>
  <tableColumns count="18">
    <tableColumn id="1" name="ID"/>
    <tableColumn id="2" name=" Marital Status"/>
    <tableColumn id="3" name="Gender"/>
    <tableColumn id="4" name="Income" dataDxfId="4"/>
    <tableColumn id="5" name="Children"/>
    <tableColumn id="6" name="Education"/>
    <tableColumn id="7" name="Occupation"/>
    <tableColumn id="8" name="Home Owner"/>
    <tableColumn id="9" name="Cars"/>
    <tableColumn id="10" name="Commute Distance"/>
    <tableColumn id="11" name="Region"/>
    <tableColumn id="12" name="Age"/>
    <tableColumn id="13" name="Age Bracket">
      <calculatedColumnFormula>IF(L2&gt;54,"Old",IF(L2&gt;=31,"Middle Age",IF(L2&lt;31, "Adolescent","Invalid")))</calculatedColumnFormula>
    </tableColumn>
    <tableColumn id="14" name="Purchased Bike"/>
    <tableColumn id="15" name="Column2" dataDxfId="3">
      <calculatedColumnFormula>COUNTBLANK(tblbuyers[Income])</calculatedColumnFormula>
    </tableColumn>
    <tableColumn id="16" name="Age group" dataDxfId="2">
      <calculatedColumnFormula>IF(tblbuyers[[#This Row],[Age]]&lt;30,"&lt;30",IF(tblbuyers[[#This Row],[Age]]&lt;=45,"30-45",IF(tblbuyers[[#This Row],[Age]]&lt;=60,"46-60","60+")))</calculatedColumnFormula>
    </tableColumn>
    <tableColumn id="17" name="Income group" dataDxfId="1">
      <calculatedColumnFormula>IF(tblbuyers[[#This Row],[Income]]&lt;30000,"Low",IF(tblbuyers[[#This Row],[Income]]&lt;=70000,"Medium","High"))</calculatedColumnFormula>
    </tableColumn>
    <tableColumn id="18" name="Flag purchased" dataDxfId="0">
      <calculatedColumnFormula>IF(OR(LOWER(TRIM(tblbuyers[[#This Row],[Purchased Bike]]))="yes",LOWER(TRIM(tblbuyers[[#This Row],[Purchased Bike]]))="y"),"Yes","No")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selection activeCell="K197" sqref="K19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17</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H1" zoomScale="110" zoomScaleNormal="110" workbookViewId="0">
      <selection activeCell="R1" sqref="R1"/>
    </sheetView>
  </sheetViews>
  <sheetFormatPr defaultColWidth="11.85546875" defaultRowHeight="15" x14ac:dyDescent="0.25"/>
  <cols>
    <col min="2" max="2" width="16"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 min="17" max="17" width="15.7109375" customWidth="1"/>
    <col min="18" max="18" width="17.42578125" customWidth="1"/>
    <col min="20" max="20" width="13.140625" customWidth="1"/>
    <col min="21" max="21" width="22.7109375" customWidth="1"/>
    <col min="22" max="22" width="5.5703125" customWidth="1"/>
    <col min="23" max="23" width="11.42578125" customWidth="1"/>
  </cols>
  <sheetData>
    <row r="1" spans="1:18" s="4" customFormat="1" x14ac:dyDescent="0.25">
      <c r="A1" s="4" t="s">
        <v>0</v>
      </c>
      <c r="B1" s="4" t="s">
        <v>41</v>
      </c>
      <c r="C1" s="4" t="s">
        <v>2</v>
      </c>
      <c r="D1" s="5" t="s">
        <v>3</v>
      </c>
      <c r="E1" s="4" t="s">
        <v>4</v>
      </c>
      <c r="F1" s="4" t="s">
        <v>5</v>
      </c>
      <c r="G1" s="4" t="s">
        <v>6</v>
      </c>
      <c r="H1" s="4" t="s">
        <v>7</v>
      </c>
      <c r="I1" s="4" t="s">
        <v>8</v>
      </c>
      <c r="J1" s="4" t="s">
        <v>9</v>
      </c>
      <c r="K1" s="4" t="s">
        <v>10</v>
      </c>
      <c r="L1" s="4" t="s">
        <v>11</v>
      </c>
      <c r="M1" s="4" t="s">
        <v>40</v>
      </c>
      <c r="N1" s="4" t="s">
        <v>12</v>
      </c>
      <c r="O1" s="6" t="s">
        <v>42</v>
      </c>
      <c r="P1" s="6" t="s">
        <v>43</v>
      </c>
      <c r="Q1" s="6" t="s">
        <v>44</v>
      </c>
      <c r="R1" s="6" t="s">
        <v>45</v>
      </c>
    </row>
    <row r="2" spans="1:18" x14ac:dyDescent="0.25">
      <c r="A2">
        <v>12496</v>
      </c>
      <c r="B2" t="s">
        <v>36</v>
      </c>
      <c r="C2" t="s">
        <v>38</v>
      </c>
      <c r="D2" s="3">
        <v>40000</v>
      </c>
      <c r="E2">
        <v>1</v>
      </c>
      <c r="F2" t="s">
        <v>13</v>
      </c>
      <c r="G2" t="s">
        <v>14</v>
      </c>
      <c r="H2" t="s">
        <v>15</v>
      </c>
      <c r="I2">
        <v>0</v>
      </c>
      <c r="J2" t="s">
        <v>16</v>
      </c>
      <c r="K2" t="s">
        <v>17</v>
      </c>
      <c r="L2">
        <v>42</v>
      </c>
      <c r="M2" t="str">
        <f>IF(L2&gt;54,"Old",IF(L2&gt;=31,"Middle Age",IF(L2&lt;31, "Adolescent","Invalid")))</f>
        <v>Middle Age</v>
      </c>
      <c r="N2" t="s">
        <v>18</v>
      </c>
      <c r="O2">
        <f>COUNTBLANK(tblbuyers[Income])</f>
        <v>0</v>
      </c>
      <c r="P2" t="str">
        <f>IF(tblbuyers[[#This Row],[Age]]&lt;30,"&lt;30",IF(tblbuyers[[#This Row],[Age]]&lt;=45,"30-45",IF(tblbuyers[[#This Row],[Age]]&lt;=60,"46-60","60+")))</f>
        <v>30-45</v>
      </c>
      <c r="Q2" t="str">
        <f>IF(tblbuyers[[#This Row],[Income]]&lt;30000,"Low",IF(tblbuyers[[#This Row],[Income]]&lt;=70000,"Medium","High"))</f>
        <v>Medium</v>
      </c>
      <c r="R2" s="7" t="str">
        <f>IF(OR(LOWER(TRIM(tblbuyers[[#This Row],[Purchased Bike]]))="yes",LOWER(TRIM(tblbuyers[[#This Row],[Purchased Bike]]))="y"),"Yes","No")</f>
        <v>No</v>
      </c>
    </row>
    <row r="3" spans="1:18" x14ac:dyDescent="0.25">
      <c r="A3">
        <v>24107</v>
      </c>
      <c r="B3" t="s">
        <v>36</v>
      </c>
      <c r="C3" t="s">
        <v>39</v>
      </c>
      <c r="D3" s="3">
        <v>30000</v>
      </c>
      <c r="E3">
        <v>3</v>
      </c>
      <c r="F3" t="s">
        <v>19</v>
      </c>
      <c r="G3" t="s">
        <v>20</v>
      </c>
      <c r="H3" t="s">
        <v>15</v>
      </c>
      <c r="I3">
        <v>1</v>
      </c>
      <c r="J3" t="s">
        <v>16</v>
      </c>
      <c r="K3" t="s">
        <v>17</v>
      </c>
      <c r="L3">
        <v>43</v>
      </c>
      <c r="M3" t="str">
        <f t="shared" ref="M3:M66" si="0">IF(L3&gt;54,"Old",IF(L3&gt;=31,"Middle Age",IF(L3&lt;31, "Adolescent","Invalid")))</f>
        <v>Middle Age</v>
      </c>
      <c r="N3" t="s">
        <v>18</v>
      </c>
      <c r="O3">
        <f>COUNTBLANK(tblbuyers[Income])</f>
        <v>0</v>
      </c>
      <c r="P3" t="str">
        <f>IF(tblbuyers[[#This Row],[Age]]&lt;30,"&lt;30",IF(tblbuyers[[#This Row],[Age]]&lt;=45,"30-45",IF(tblbuyers[[#This Row],[Age]]&lt;=60,"46-60","60+")))</f>
        <v>30-45</v>
      </c>
      <c r="Q3" t="str">
        <f>IF(tblbuyers[[#This Row],[Income]]&lt;30000,"Low",IF(tblbuyers[[#This Row],[Income]]&lt;=70000,"Medium","High"))</f>
        <v>Medium</v>
      </c>
      <c r="R3" s="7" t="str">
        <f>IF(OR(LOWER(TRIM(tblbuyers[[#This Row],[Purchased Bike]]))="yes",LOWER(TRIM(tblbuyers[[#This Row],[Purchased Bike]]))="y"),"Yes","No")</f>
        <v>No</v>
      </c>
    </row>
    <row r="4" spans="1:18" x14ac:dyDescent="0.25">
      <c r="A4">
        <v>14177</v>
      </c>
      <c r="B4" t="s">
        <v>36</v>
      </c>
      <c r="C4" t="s">
        <v>39</v>
      </c>
      <c r="D4" s="3">
        <v>80000</v>
      </c>
      <c r="E4">
        <v>5</v>
      </c>
      <c r="F4" t="s">
        <v>19</v>
      </c>
      <c r="G4" t="s">
        <v>21</v>
      </c>
      <c r="H4" t="s">
        <v>18</v>
      </c>
      <c r="I4">
        <v>2</v>
      </c>
      <c r="J4" t="s">
        <v>22</v>
      </c>
      <c r="K4" t="s">
        <v>17</v>
      </c>
      <c r="L4">
        <v>60</v>
      </c>
      <c r="M4" t="str">
        <f t="shared" si="0"/>
        <v>Old</v>
      </c>
      <c r="N4" t="s">
        <v>18</v>
      </c>
      <c r="O4">
        <f>COUNTBLANK(tblbuyers[Income])</f>
        <v>0</v>
      </c>
      <c r="P4" t="str">
        <f>IF(tblbuyers[[#This Row],[Age]]&lt;30,"&lt;30",IF(tblbuyers[[#This Row],[Age]]&lt;=45,"30-45",IF(tblbuyers[[#This Row],[Age]]&lt;=60,"46-60","60+")))</f>
        <v>46-60</v>
      </c>
      <c r="Q4" t="str">
        <f>IF(tblbuyers[[#This Row],[Income]]&lt;30000,"Low",IF(tblbuyers[[#This Row],[Income]]&lt;=70000,"Medium","High"))</f>
        <v>High</v>
      </c>
      <c r="R4" s="7" t="str">
        <f>IF(OR(LOWER(TRIM(tblbuyers[[#This Row],[Purchased Bike]]))="yes",LOWER(TRIM(tblbuyers[[#This Row],[Purchased Bike]]))="y"),"Yes","No")</f>
        <v>No</v>
      </c>
    </row>
    <row r="5" spans="1:18" x14ac:dyDescent="0.25">
      <c r="A5">
        <v>24381</v>
      </c>
      <c r="B5" t="s">
        <v>37</v>
      </c>
      <c r="C5" t="s">
        <v>39</v>
      </c>
      <c r="D5" s="3">
        <v>70000</v>
      </c>
      <c r="E5">
        <v>0</v>
      </c>
      <c r="F5" t="s">
        <v>13</v>
      </c>
      <c r="G5" t="s">
        <v>21</v>
      </c>
      <c r="H5" t="s">
        <v>15</v>
      </c>
      <c r="I5">
        <v>1</v>
      </c>
      <c r="J5" t="s">
        <v>23</v>
      </c>
      <c r="K5" t="s">
        <v>24</v>
      </c>
      <c r="L5">
        <v>41</v>
      </c>
      <c r="M5" t="str">
        <f t="shared" si="0"/>
        <v>Middle Age</v>
      </c>
      <c r="N5" t="s">
        <v>15</v>
      </c>
      <c r="O5">
        <f>COUNTBLANK(tblbuyers[Income])</f>
        <v>0</v>
      </c>
      <c r="P5" t="str">
        <f>IF(tblbuyers[[#This Row],[Age]]&lt;30,"&lt;30",IF(tblbuyers[[#This Row],[Age]]&lt;=45,"30-45",IF(tblbuyers[[#This Row],[Age]]&lt;=60,"46-60","60+")))</f>
        <v>30-45</v>
      </c>
      <c r="Q5" t="str">
        <f>IF(tblbuyers[[#This Row],[Income]]&lt;30000,"Low",IF(tblbuyers[[#This Row],[Income]]&lt;=70000,"Medium","High"))</f>
        <v>Medium</v>
      </c>
      <c r="R5" s="7" t="str">
        <f>IF(OR(LOWER(TRIM(tblbuyers[[#This Row],[Purchased Bike]]))="yes",LOWER(TRIM(tblbuyers[[#This Row],[Purchased Bike]]))="y"),"Yes","No")</f>
        <v>Yes</v>
      </c>
    </row>
    <row r="6" spans="1:18" x14ac:dyDescent="0.25">
      <c r="A6">
        <v>25597</v>
      </c>
      <c r="B6" t="s">
        <v>37</v>
      </c>
      <c r="C6" t="s">
        <v>39</v>
      </c>
      <c r="D6" s="3">
        <v>30000</v>
      </c>
      <c r="E6">
        <v>0</v>
      </c>
      <c r="F6" t="s">
        <v>13</v>
      </c>
      <c r="G6" t="s">
        <v>20</v>
      </c>
      <c r="H6" t="s">
        <v>18</v>
      </c>
      <c r="I6">
        <v>0</v>
      </c>
      <c r="J6" t="s">
        <v>16</v>
      </c>
      <c r="K6" t="s">
        <v>17</v>
      </c>
      <c r="L6">
        <v>36</v>
      </c>
      <c r="M6" t="str">
        <f t="shared" si="0"/>
        <v>Middle Age</v>
      </c>
      <c r="N6" t="s">
        <v>15</v>
      </c>
      <c r="O6">
        <f>COUNTBLANK(tblbuyers[Income])</f>
        <v>0</v>
      </c>
      <c r="P6" t="str">
        <f>IF(tblbuyers[[#This Row],[Age]]&lt;30,"&lt;30",IF(tblbuyers[[#This Row],[Age]]&lt;=45,"30-45",IF(tblbuyers[[#This Row],[Age]]&lt;=60,"46-60","60+")))</f>
        <v>30-45</v>
      </c>
      <c r="Q6" t="str">
        <f>IF(tblbuyers[[#This Row],[Income]]&lt;30000,"Low",IF(tblbuyers[[#This Row],[Income]]&lt;=70000,"Medium","High"))</f>
        <v>Medium</v>
      </c>
      <c r="R6" s="7" t="str">
        <f>IF(OR(LOWER(TRIM(tblbuyers[[#This Row],[Purchased Bike]]))="yes",LOWER(TRIM(tblbuyers[[#This Row],[Purchased Bike]]))="y"),"Yes","No")</f>
        <v>Yes</v>
      </c>
    </row>
    <row r="7" spans="1:18" x14ac:dyDescent="0.25">
      <c r="A7">
        <v>13507</v>
      </c>
      <c r="B7" t="s">
        <v>36</v>
      </c>
      <c r="C7" t="s">
        <v>38</v>
      </c>
      <c r="D7" s="3">
        <v>10000</v>
      </c>
      <c r="E7">
        <v>2</v>
      </c>
      <c r="F7" t="s">
        <v>19</v>
      </c>
      <c r="G7" t="s">
        <v>25</v>
      </c>
      <c r="H7" t="s">
        <v>15</v>
      </c>
      <c r="I7">
        <v>0</v>
      </c>
      <c r="J7" t="s">
        <v>26</v>
      </c>
      <c r="K7" t="s">
        <v>17</v>
      </c>
      <c r="L7">
        <v>50</v>
      </c>
      <c r="M7" t="str">
        <f t="shared" si="0"/>
        <v>Middle Age</v>
      </c>
      <c r="N7" t="s">
        <v>18</v>
      </c>
      <c r="O7">
        <f>COUNTBLANK(tblbuyers[Income])</f>
        <v>0</v>
      </c>
      <c r="P7" t="str">
        <f>IF(tblbuyers[[#This Row],[Age]]&lt;30,"&lt;30",IF(tblbuyers[[#This Row],[Age]]&lt;=45,"30-45",IF(tblbuyers[[#This Row],[Age]]&lt;=60,"46-60","60+")))</f>
        <v>46-60</v>
      </c>
      <c r="Q7" t="str">
        <f>IF(tblbuyers[[#This Row],[Income]]&lt;30000,"Low",IF(tblbuyers[[#This Row],[Income]]&lt;=70000,"Medium","High"))</f>
        <v>Low</v>
      </c>
      <c r="R7" s="7" t="str">
        <f>IF(OR(LOWER(TRIM(tblbuyers[[#This Row],[Purchased Bike]]))="yes",LOWER(TRIM(tblbuyers[[#This Row],[Purchased Bike]]))="y"),"Yes","No")</f>
        <v>No</v>
      </c>
    </row>
    <row r="8" spans="1:18" x14ac:dyDescent="0.25">
      <c r="A8">
        <v>27974</v>
      </c>
      <c r="B8" t="s">
        <v>37</v>
      </c>
      <c r="C8" t="s">
        <v>39</v>
      </c>
      <c r="D8" s="3">
        <v>160000</v>
      </c>
      <c r="E8">
        <v>2</v>
      </c>
      <c r="F8" t="s">
        <v>27</v>
      </c>
      <c r="G8" t="s">
        <v>28</v>
      </c>
      <c r="H8" t="s">
        <v>15</v>
      </c>
      <c r="I8">
        <v>4</v>
      </c>
      <c r="J8" t="s">
        <v>16</v>
      </c>
      <c r="K8" t="s">
        <v>24</v>
      </c>
      <c r="L8">
        <v>33</v>
      </c>
      <c r="M8" t="str">
        <f t="shared" si="0"/>
        <v>Middle Age</v>
      </c>
      <c r="N8" t="s">
        <v>15</v>
      </c>
      <c r="O8">
        <f>COUNTBLANK(tblbuyers[Income])</f>
        <v>0</v>
      </c>
      <c r="P8" t="str">
        <f>IF(tblbuyers[[#This Row],[Age]]&lt;30,"&lt;30",IF(tblbuyers[[#This Row],[Age]]&lt;=45,"30-45",IF(tblbuyers[[#This Row],[Age]]&lt;=60,"46-60","60+")))</f>
        <v>30-45</v>
      </c>
      <c r="Q8" t="str">
        <f>IF(tblbuyers[[#This Row],[Income]]&lt;30000,"Low",IF(tblbuyers[[#This Row],[Income]]&lt;=70000,"Medium","High"))</f>
        <v>High</v>
      </c>
      <c r="R8" s="7" t="str">
        <f>IF(OR(LOWER(TRIM(tblbuyers[[#This Row],[Purchased Bike]]))="yes",LOWER(TRIM(tblbuyers[[#This Row],[Purchased Bike]]))="y"),"Yes","No")</f>
        <v>Yes</v>
      </c>
    </row>
    <row r="9" spans="1:18" x14ac:dyDescent="0.25">
      <c r="A9">
        <v>19364</v>
      </c>
      <c r="B9" t="s">
        <v>36</v>
      </c>
      <c r="C9" t="s">
        <v>39</v>
      </c>
      <c r="D9" s="3">
        <v>40000</v>
      </c>
      <c r="E9">
        <v>1</v>
      </c>
      <c r="F9" t="s">
        <v>13</v>
      </c>
      <c r="G9" t="s">
        <v>14</v>
      </c>
      <c r="H9" t="s">
        <v>15</v>
      </c>
      <c r="I9">
        <v>0</v>
      </c>
      <c r="J9" t="s">
        <v>16</v>
      </c>
      <c r="K9" t="s">
        <v>17</v>
      </c>
      <c r="L9">
        <v>43</v>
      </c>
      <c r="M9" t="str">
        <f t="shared" si="0"/>
        <v>Middle Age</v>
      </c>
      <c r="N9" t="s">
        <v>15</v>
      </c>
      <c r="O9">
        <f>COUNTBLANK(tblbuyers[Income])</f>
        <v>0</v>
      </c>
      <c r="P9" t="str">
        <f>IF(tblbuyers[[#This Row],[Age]]&lt;30,"&lt;30",IF(tblbuyers[[#This Row],[Age]]&lt;=45,"30-45",IF(tblbuyers[[#This Row],[Age]]&lt;=60,"46-60","60+")))</f>
        <v>30-45</v>
      </c>
      <c r="Q9" t="str">
        <f>IF(tblbuyers[[#This Row],[Income]]&lt;30000,"Low",IF(tblbuyers[[#This Row],[Income]]&lt;=70000,"Medium","High"))</f>
        <v>Medium</v>
      </c>
      <c r="R9" s="7" t="str">
        <f>IF(OR(LOWER(TRIM(tblbuyers[[#This Row],[Purchased Bike]]))="yes",LOWER(TRIM(tblbuyers[[#This Row],[Purchased Bike]]))="y"),"Yes","No")</f>
        <v>Yes</v>
      </c>
    </row>
    <row r="10" spans="1:18" x14ac:dyDescent="0.25">
      <c r="A10">
        <v>22155</v>
      </c>
      <c r="B10" t="s">
        <v>36</v>
      </c>
      <c r="C10" t="s">
        <v>39</v>
      </c>
      <c r="D10" s="3">
        <v>20000</v>
      </c>
      <c r="E10">
        <v>2</v>
      </c>
      <c r="F10" t="s">
        <v>29</v>
      </c>
      <c r="G10" t="s">
        <v>20</v>
      </c>
      <c r="H10" t="s">
        <v>15</v>
      </c>
      <c r="I10">
        <v>2</v>
      </c>
      <c r="J10" t="s">
        <v>23</v>
      </c>
      <c r="K10" t="s">
        <v>24</v>
      </c>
      <c r="L10">
        <v>58</v>
      </c>
      <c r="M10" t="str">
        <f t="shared" si="0"/>
        <v>Old</v>
      </c>
      <c r="N10" t="s">
        <v>18</v>
      </c>
      <c r="O10">
        <f>COUNTBLANK(tblbuyers[Income])</f>
        <v>0</v>
      </c>
      <c r="P10" t="str">
        <f>IF(tblbuyers[[#This Row],[Age]]&lt;30,"&lt;30",IF(tblbuyers[[#This Row],[Age]]&lt;=45,"30-45",IF(tblbuyers[[#This Row],[Age]]&lt;=60,"46-60","60+")))</f>
        <v>46-60</v>
      </c>
      <c r="Q10" t="str">
        <f>IF(tblbuyers[[#This Row],[Income]]&lt;30000,"Low",IF(tblbuyers[[#This Row],[Income]]&lt;=70000,"Medium","High"))</f>
        <v>Low</v>
      </c>
      <c r="R10" s="7" t="str">
        <f>IF(OR(LOWER(TRIM(tblbuyers[[#This Row],[Purchased Bike]]))="yes",LOWER(TRIM(tblbuyers[[#This Row],[Purchased Bike]]))="y"),"Yes","No")</f>
        <v>No</v>
      </c>
    </row>
    <row r="11" spans="1:18" x14ac:dyDescent="0.25">
      <c r="A11">
        <v>19280</v>
      </c>
      <c r="B11" t="s">
        <v>36</v>
      </c>
      <c r="C11" t="s">
        <v>39</v>
      </c>
      <c r="D11" s="3">
        <v>120000</v>
      </c>
      <c r="E11">
        <v>2</v>
      </c>
      <c r="F11" t="s">
        <v>19</v>
      </c>
      <c r="G11" t="s">
        <v>25</v>
      </c>
      <c r="H11" t="s">
        <v>15</v>
      </c>
      <c r="I11">
        <v>1</v>
      </c>
      <c r="J11" t="s">
        <v>16</v>
      </c>
      <c r="K11" t="s">
        <v>17</v>
      </c>
      <c r="L11">
        <v>40</v>
      </c>
      <c r="M11" t="str">
        <f t="shared" si="0"/>
        <v>Middle Age</v>
      </c>
      <c r="N11" t="s">
        <v>15</v>
      </c>
      <c r="O11">
        <f>COUNTBLANK(tblbuyers[Income])</f>
        <v>0</v>
      </c>
      <c r="P11" t="str">
        <f>IF(tblbuyers[[#This Row],[Age]]&lt;30,"&lt;30",IF(tblbuyers[[#This Row],[Age]]&lt;=45,"30-45",IF(tblbuyers[[#This Row],[Age]]&lt;=60,"46-60","60+")))</f>
        <v>30-45</v>
      </c>
      <c r="Q11" t="str">
        <f>IF(tblbuyers[[#This Row],[Income]]&lt;30000,"Low",IF(tblbuyers[[#This Row],[Income]]&lt;=70000,"Medium","High"))</f>
        <v>High</v>
      </c>
      <c r="R11" s="7" t="str">
        <f>IF(OR(LOWER(TRIM(tblbuyers[[#This Row],[Purchased Bike]]))="yes",LOWER(TRIM(tblbuyers[[#This Row],[Purchased Bike]]))="y"),"Yes","No")</f>
        <v>Yes</v>
      </c>
    </row>
    <row r="12" spans="1:18" x14ac:dyDescent="0.25">
      <c r="A12">
        <v>22173</v>
      </c>
      <c r="B12" t="s">
        <v>36</v>
      </c>
      <c r="C12" t="s">
        <v>38</v>
      </c>
      <c r="D12" s="3">
        <v>30000</v>
      </c>
      <c r="E12">
        <v>3</v>
      </c>
      <c r="F12" t="s">
        <v>27</v>
      </c>
      <c r="G12" t="s">
        <v>14</v>
      </c>
      <c r="H12" t="s">
        <v>18</v>
      </c>
      <c r="I12">
        <v>2</v>
      </c>
      <c r="J12" t="s">
        <v>26</v>
      </c>
      <c r="K12" t="s">
        <v>24</v>
      </c>
      <c r="L12">
        <v>54</v>
      </c>
      <c r="M12" t="str">
        <f t="shared" si="0"/>
        <v>Middle Age</v>
      </c>
      <c r="N12" t="s">
        <v>15</v>
      </c>
      <c r="O12">
        <f>COUNTBLANK(tblbuyers[Income])</f>
        <v>0</v>
      </c>
      <c r="P12" t="str">
        <f>IF(tblbuyers[[#This Row],[Age]]&lt;30,"&lt;30",IF(tblbuyers[[#This Row],[Age]]&lt;=45,"30-45",IF(tblbuyers[[#This Row],[Age]]&lt;=60,"46-60","60+")))</f>
        <v>46-60</v>
      </c>
      <c r="Q12" t="str">
        <f>IF(tblbuyers[[#This Row],[Income]]&lt;30000,"Low",IF(tblbuyers[[#This Row],[Income]]&lt;=70000,"Medium","High"))</f>
        <v>Medium</v>
      </c>
      <c r="R12" s="7" t="str">
        <f>IF(OR(LOWER(TRIM(tblbuyers[[#This Row],[Purchased Bike]]))="yes",LOWER(TRIM(tblbuyers[[#This Row],[Purchased Bike]]))="y"),"Yes","No")</f>
        <v>Yes</v>
      </c>
    </row>
    <row r="13" spans="1:18" x14ac:dyDescent="0.25">
      <c r="A13">
        <v>12697</v>
      </c>
      <c r="B13" t="s">
        <v>37</v>
      </c>
      <c r="C13" t="s">
        <v>38</v>
      </c>
      <c r="D13" s="3">
        <v>90000</v>
      </c>
      <c r="E13">
        <v>0</v>
      </c>
      <c r="F13" t="s">
        <v>13</v>
      </c>
      <c r="G13" t="s">
        <v>21</v>
      </c>
      <c r="H13" t="s">
        <v>18</v>
      </c>
      <c r="I13">
        <v>4</v>
      </c>
      <c r="J13" t="s">
        <v>30</v>
      </c>
      <c r="K13" t="s">
        <v>24</v>
      </c>
      <c r="L13">
        <v>36</v>
      </c>
      <c r="M13" t="str">
        <f t="shared" si="0"/>
        <v>Middle Age</v>
      </c>
      <c r="N13" t="s">
        <v>18</v>
      </c>
      <c r="O13">
        <f>COUNTBLANK(tblbuyers[Income])</f>
        <v>0</v>
      </c>
      <c r="P13" t="str">
        <f>IF(tblbuyers[[#This Row],[Age]]&lt;30,"&lt;30",IF(tblbuyers[[#This Row],[Age]]&lt;=45,"30-45",IF(tblbuyers[[#This Row],[Age]]&lt;=60,"46-60","60+")))</f>
        <v>30-45</v>
      </c>
      <c r="Q13" t="str">
        <f>IF(tblbuyers[[#This Row],[Income]]&lt;30000,"Low",IF(tblbuyers[[#This Row],[Income]]&lt;=70000,"Medium","High"))</f>
        <v>High</v>
      </c>
      <c r="R13" s="7" t="str">
        <f>IF(OR(LOWER(TRIM(tblbuyers[[#This Row],[Purchased Bike]]))="yes",LOWER(TRIM(tblbuyers[[#This Row],[Purchased Bike]]))="y"),"Yes","No")</f>
        <v>No</v>
      </c>
    </row>
    <row r="14" spans="1:18" x14ac:dyDescent="0.25">
      <c r="A14">
        <v>11434</v>
      </c>
      <c r="B14" t="s">
        <v>36</v>
      </c>
      <c r="C14" t="s">
        <v>39</v>
      </c>
      <c r="D14" s="3">
        <v>170000</v>
      </c>
      <c r="E14">
        <v>5</v>
      </c>
      <c r="F14" t="s">
        <v>19</v>
      </c>
      <c r="G14" t="s">
        <v>21</v>
      </c>
      <c r="H14" t="s">
        <v>15</v>
      </c>
      <c r="I14">
        <v>0</v>
      </c>
      <c r="J14" t="s">
        <v>16</v>
      </c>
      <c r="K14" t="s">
        <v>17</v>
      </c>
      <c r="L14">
        <v>55</v>
      </c>
      <c r="M14" t="str">
        <f t="shared" si="0"/>
        <v>Old</v>
      </c>
      <c r="N14" t="s">
        <v>18</v>
      </c>
      <c r="O14">
        <f>COUNTBLANK(tblbuyers[Income])</f>
        <v>0</v>
      </c>
      <c r="P14" t="str">
        <f>IF(tblbuyers[[#This Row],[Age]]&lt;30,"&lt;30",IF(tblbuyers[[#This Row],[Age]]&lt;=45,"30-45",IF(tblbuyers[[#This Row],[Age]]&lt;=60,"46-60","60+")))</f>
        <v>46-60</v>
      </c>
      <c r="Q14" t="str">
        <f>IF(tblbuyers[[#This Row],[Income]]&lt;30000,"Low",IF(tblbuyers[[#This Row],[Income]]&lt;=70000,"Medium","High"))</f>
        <v>High</v>
      </c>
      <c r="R14" s="7" t="str">
        <f>IF(OR(LOWER(TRIM(tblbuyers[[#This Row],[Purchased Bike]]))="yes",LOWER(TRIM(tblbuyers[[#This Row],[Purchased Bike]]))="y"),"Yes","No")</f>
        <v>No</v>
      </c>
    </row>
    <row r="15" spans="1:18" x14ac:dyDescent="0.25">
      <c r="A15">
        <v>25323</v>
      </c>
      <c r="B15" t="s">
        <v>36</v>
      </c>
      <c r="C15" t="s">
        <v>39</v>
      </c>
      <c r="D15" s="3">
        <v>40000</v>
      </c>
      <c r="E15">
        <v>2</v>
      </c>
      <c r="F15" t="s">
        <v>19</v>
      </c>
      <c r="G15" t="s">
        <v>20</v>
      </c>
      <c r="H15" t="s">
        <v>15</v>
      </c>
      <c r="I15">
        <v>1</v>
      </c>
      <c r="J15" t="s">
        <v>26</v>
      </c>
      <c r="K15" t="s">
        <v>17</v>
      </c>
      <c r="L15">
        <v>35</v>
      </c>
      <c r="M15" t="str">
        <f t="shared" si="0"/>
        <v>Middle Age</v>
      </c>
      <c r="N15" t="s">
        <v>15</v>
      </c>
      <c r="O15">
        <f>COUNTBLANK(tblbuyers[Income])</f>
        <v>0</v>
      </c>
      <c r="P15" t="str">
        <f>IF(tblbuyers[[#This Row],[Age]]&lt;30,"&lt;30",IF(tblbuyers[[#This Row],[Age]]&lt;=45,"30-45",IF(tblbuyers[[#This Row],[Age]]&lt;=60,"46-60","60+")))</f>
        <v>30-45</v>
      </c>
      <c r="Q15" t="str">
        <f>IF(tblbuyers[[#This Row],[Income]]&lt;30000,"Low",IF(tblbuyers[[#This Row],[Income]]&lt;=70000,"Medium","High"))</f>
        <v>Medium</v>
      </c>
      <c r="R15" s="7" t="str">
        <f>IF(OR(LOWER(TRIM(tblbuyers[[#This Row],[Purchased Bike]]))="yes",LOWER(TRIM(tblbuyers[[#This Row],[Purchased Bike]]))="y"),"Yes","No")</f>
        <v>Yes</v>
      </c>
    </row>
    <row r="16" spans="1:18" x14ac:dyDescent="0.25">
      <c r="A16">
        <v>23542</v>
      </c>
      <c r="B16" t="s">
        <v>37</v>
      </c>
      <c r="C16" t="s">
        <v>39</v>
      </c>
      <c r="D16" s="3">
        <v>60000</v>
      </c>
      <c r="E16">
        <v>1</v>
      </c>
      <c r="F16" t="s">
        <v>19</v>
      </c>
      <c r="G16" t="s">
        <v>14</v>
      </c>
      <c r="H16" t="s">
        <v>18</v>
      </c>
      <c r="I16">
        <v>1</v>
      </c>
      <c r="J16" t="s">
        <v>16</v>
      </c>
      <c r="K16" t="s">
        <v>24</v>
      </c>
      <c r="L16">
        <v>45</v>
      </c>
      <c r="M16" t="str">
        <f t="shared" si="0"/>
        <v>Middle Age</v>
      </c>
      <c r="N16" t="s">
        <v>15</v>
      </c>
      <c r="O16">
        <f>COUNTBLANK(tblbuyers[Income])</f>
        <v>0</v>
      </c>
      <c r="P16" t="str">
        <f>IF(tblbuyers[[#This Row],[Age]]&lt;30,"&lt;30",IF(tblbuyers[[#This Row],[Age]]&lt;=45,"30-45",IF(tblbuyers[[#This Row],[Age]]&lt;=60,"46-60","60+")))</f>
        <v>30-45</v>
      </c>
      <c r="Q16" t="str">
        <f>IF(tblbuyers[[#This Row],[Income]]&lt;30000,"Low",IF(tblbuyers[[#This Row],[Income]]&lt;=70000,"Medium","High"))</f>
        <v>Medium</v>
      </c>
      <c r="R16" s="7" t="str">
        <f>IF(OR(LOWER(TRIM(tblbuyers[[#This Row],[Purchased Bike]]))="yes",LOWER(TRIM(tblbuyers[[#This Row],[Purchased Bike]]))="y"),"Yes","No")</f>
        <v>Yes</v>
      </c>
    </row>
    <row r="17" spans="1:18" x14ac:dyDescent="0.25">
      <c r="A17">
        <v>20870</v>
      </c>
      <c r="B17" t="s">
        <v>37</v>
      </c>
      <c r="C17" t="s">
        <v>38</v>
      </c>
      <c r="D17" s="3">
        <v>10000</v>
      </c>
      <c r="E17">
        <v>2</v>
      </c>
      <c r="F17" t="s">
        <v>27</v>
      </c>
      <c r="G17" t="s">
        <v>25</v>
      </c>
      <c r="H17" t="s">
        <v>15</v>
      </c>
      <c r="I17">
        <v>1</v>
      </c>
      <c r="J17" t="s">
        <v>16</v>
      </c>
      <c r="K17" t="s">
        <v>17</v>
      </c>
      <c r="L17">
        <v>38</v>
      </c>
      <c r="M17" t="str">
        <f t="shared" si="0"/>
        <v>Middle Age</v>
      </c>
      <c r="N17" t="s">
        <v>15</v>
      </c>
      <c r="O17">
        <f>COUNTBLANK(tblbuyers[Income])</f>
        <v>0</v>
      </c>
      <c r="P17" t="str">
        <f>IF(tblbuyers[[#This Row],[Age]]&lt;30,"&lt;30",IF(tblbuyers[[#This Row],[Age]]&lt;=45,"30-45",IF(tblbuyers[[#This Row],[Age]]&lt;=60,"46-60","60+")))</f>
        <v>30-45</v>
      </c>
      <c r="Q17" t="str">
        <f>IF(tblbuyers[[#This Row],[Income]]&lt;30000,"Low",IF(tblbuyers[[#This Row],[Income]]&lt;=70000,"Medium","High"))</f>
        <v>Low</v>
      </c>
      <c r="R17" s="7" t="str">
        <f>IF(OR(LOWER(TRIM(tblbuyers[[#This Row],[Purchased Bike]]))="yes",LOWER(TRIM(tblbuyers[[#This Row],[Purchased Bike]]))="y"),"Yes","No")</f>
        <v>Yes</v>
      </c>
    </row>
    <row r="18" spans="1:18" x14ac:dyDescent="0.25">
      <c r="A18">
        <v>23316</v>
      </c>
      <c r="B18" t="s">
        <v>37</v>
      </c>
      <c r="C18" t="s">
        <v>39</v>
      </c>
      <c r="D18" s="3">
        <v>30000</v>
      </c>
      <c r="E18">
        <v>3</v>
      </c>
      <c r="F18" t="s">
        <v>19</v>
      </c>
      <c r="G18" t="s">
        <v>20</v>
      </c>
      <c r="H18" t="s">
        <v>18</v>
      </c>
      <c r="I18">
        <v>2</v>
      </c>
      <c r="J18" t="s">
        <v>26</v>
      </c>
      <c r="K18" t="s">
        <v>24</v>
      </c>
      <c r="L18">
        <v>59</v>
      </c>
      <c r="M18" t="str">
        <f t="shared" si="0"/>
        <v>Old</v>
      </c>
      <c r="N18" t="s">
        <v>15</v>
      </c>
      <c r="O18">
        <f>COUNTBLANK(tblbuyers[Income])</f>
        <v>0</v>
      </c>
      <c r="P18" t="str">
        <f>IF(tblbuyers[[#This Row],[Age]]&lt;30,"&lt;30",IF(tblbuyers[[#This Row],[Age]]&lt;=45,"30-45",IF(tblbuyers[[#This Row],[Age]]&lt;=60,"46-60","60+")))</f>
        <v>46-60</v>
      </c>
      <c r="Q18" t="str">
        <f>IF(tblbuyers[[#This Row],[Income]]&lt;30000,"Low",IF(tblbuyers[[#This Row],[Income]]&lt;=70000,"Medium","High"))</f>
        <v>Medium</v>
      </c>
      <c r="R18" s="7" t="str">
        <f>IF(OR(LOWER(TRIM(tblbuyers[[#This Row],[Purchased Bike]]))="yes",LOWER(TRIM(tblbuyers[[#This Row],[Purchased Bike]]))="y"),"Yes","No")</f>
        <v>Yes</v>
      </c>
    </row>
    <row r="19" spans="1:18" x14ac:dyDescent="0.25">
      <c r="A19">
        <v>12610</v>
      </c>
      <c r="B19" t="s">
        <v>36</v>
      </c>
      <c r="C19" t="s">
        <v>38</v>
      </c>
      <c r="D19" s="3">
        <v>30000</v>
      </c>
      <c r="E19">
        <v>1</v>
      </c>
      <c r="F19" t="s">
        <v>13</v>
      </c>
      <c r="G19" t="s">
        <v>20</v>
      </c>
      <c r="H19" t="s">
        <v>15</v>
      </c>
      <c r="I19">
        <v>0</v>
      </c>
      <c r="J19" t="s">
        <v>16</v>
      </c>
      <c r="K19" t="s">
        <v>17</v>
      </c>
      <c r="L19">
        <v>47</v>
      </c>
      <c r="M19" t="str">
        <f t="shared" si="0"/>
        <v>Middle Age</v>
      </c>
      <c r="N19" t="s">
        <v>18</v>
      </c>
      <c r="O19">
        <f>COUNTBLANK(tblbuyers[Income])</f>
        <v>0</v>
      </c>
      <c r="P19" t="str">
        <f>IF(tblbuyers[[#This Row],[Age]]&lt;30,"&lt;30",IF(tblbuyers[[#This Row],[Age]]&lt;=45,"30-45",IF(tblbuyers[[#This Row],[Age]]&lt;=60,"46-60","60+")))</f>
        <v>46-60</v>
      </c>
      <c r="Q19" t="str">
        <f>IF(tblbuyers[[#This Row],[Income]]&lt;30000,"Low",IF(tblbuyers[[#This Row],[Income]]&lt;=70000,"Medium","High"))</f>
        <v>Medium</v>
      </c>
      <c r="R19" s="7" t="str">
        <f>IF(OR(LOWER(TRIM(tblbuyers[[#This Row],[Purchased Bike]]))="yes",LOWER(TRIM(tblbuyers[[#This Row],[Purchased Bike]]))="y"),"Yes","No")</f>
        <v>No</v>
      </c>
    </row>
    <row r="20" spans="1:18" x14ac:dyDescent="0.25">
      <c r="A20">
        <v>27183</v>
      </c>
      <c r="B20" t="s">
        <v>37</v>
      </c>
      <c r="C20" t="s">
        <v>39</v>
      </c>
      <c r="D20" s="3">
        <v>40000</v>
      </c>
      <c r="E20">
        <v>2</v>
      </c>
      <c r="F20" t="s">
        <v>19</v>
      </c>
      <c r="G20" t="s">
        <v>20</v>
      </c>
      <c r="H20" t="s">
        <v>15</v>
      </c>
      <c r="I20">
        <v>1</v>
      </c>
      <c r="J20" t="s">
        <v>26</v>
      </c>
      <c r="K20" t="s">
        <v>17</v>
      </c>
      <c r="L20">
        <v>35</v>
      </c>
      <c r="M20" t="str">
        <f t="shared" si="0"/>
        <v>Middle Age</v>
      </c>
      <c r="N20" t="s">
        <v>15</v>
      </c>
      <c r="O20">
        <f>COUNTBLANK(tblbuyers[Income])</f>
        <v>0</v>
      </c>
      <c r="P20" t="str">
        <f>IF(tblbuyers[[#This Row],[Age]]&lt;30,"&lt;30",IF(tblbuyers[[#This Row],[Age]]&lt;=45,"30-45",IF(tblbuyers[[#This Row],[Age]]&lt;=60,"46-60","60+")))</f>
        <v>30-45</v>
      </c>
      <c r="Q20" t="str">
        <f>IF(tblbuyers[[#This Row],[Income]]&lt;30000,"Low",IF(tblbuyers[[#This Row],[Income]]&lt;=70000,"Medium","High"))</f>
        <v>Medium</v>
      </c>
      <c r="R20" s="7" t="str">
        <f>IF(OR(LOWER(TRIM(tblbuyers[[#This Row],[Purchased Bike]]))="yes",LOWER(TRIM(tblbuyers[[#This Row],[Purchased Bike]]))="y"),"Yes","No")</f>
        <v>Yes</v>
      </c>
    </row>
    <row r="21" spans="1:18" x14ac:dyDescent="0.25">
      <c r="A21">
        <v>25940</v>
      </c>
      <c r="B21" t="s">
        <v>37</v>
      </c>
      <c r="C21" t="s">
        <v>39</v>
      </c>
      <c r="D21" s="3">
        <v>20000</v>
      </c>
      <c r="E21">
        <v>2</v>
      </c>
      <c r="F21" t="s">
        <v>29</v>
      </c>
      <c r="G21" t="s">
        <v>20</v>
      </c>
      <c r="H21" t="s">
        <v>15</v>
      </c>
      <c r="I21">
        <v>2</v>
      </c>
      <c r="J21" t="s">
        <v>23</v>
      </c>
      <c r="K21" t="s">
        <v>24</v>
      </c>
      <c r="L21">
        <v>55</v>
      </c>
      <c r="M21" t="str">
        <f t="shared" si="0"/>
        <v>Old</v>
      </c>
      <c r="N21" t="s">
        <v>15</v>
      </c>
      <c r="O21">
        <f>COUNTBLANK(tblbuyers[Income])</f>
        <v>0</v>
      </c>
      <c r="P21" t="str">
        <f>IF(tblbuyers[[#This Row],[Age]]&lt;30,"&lt;30",IF(tblbuyers[[#This Row],[Age]]&lt;=45,"30-45",IF(tblbuyers[[#This Row],[Age]]&lt;=60,"46-60","60+")))</f>
        <v>46-60</v>
      </c>
      <c r="Q21" t="str">
        <f>IF(tblbuyers[[#This Row],[Income]]&lt;30000,"Low",IF(tblbuyers[[#This Row],[Income]]&lt;=70000,"Medium","High"))</f>
        <v>Low</v>
      </c>
      <c r="R21" s="7" t="str">
        <f>IF(OR(LOWER(TRIM(tblbuyers[[#This Row],[Purchased Bike]]))="yes",LOWER(TRIM(tblbuyers[[#This Row],[Purchased Bike]]))="y"),"Yes","No")</f>
        <v>Yes</v>
      </c>
    </row>
    <row r="22" spans="1:18" x14ac:dyDescent="0.25">
      <c r="A22">
        <v>25598</v>
      </c>
      <c r="B22" t="s">
        <v>36</v>
      </c>
      <c r="C22" t="s">
        <v>38</v>
      </c>
      <c r="D22" s="3">
        <v>40000</v>
      </c>
      <c r="E22">
        <v>0</v>
      </c>
      <c r="F22" t="s">
        <v>31</v>
      </c>
      <c r="G22" t="s">
        <v>20</v>
      </c>
      <c r="H22" t="s">
        <v>15</v>
      </c>
      <c r="I22">
        <v>0</v>
      </c>
      <c r="J22" t="s">
        <v>16</v>
      </c>
      <c r="K22" t="s">
        <v>17</v>
      </c>
      <c r="L22">
        <v>36</v>
      </c>
      <c r="M22" t="str">
        <f t="shared" si="0"/>
        <v>Middle Age</v>
      </c>
      <c r="N22" t="s">
        <v>15</v>
      </c>
      <c r="O22">
        <f>COUNTBLANK(tblbuyers[Income])</f>
        <v>0</v>
      </c>
      <c r="P22" t="str">
        <f>IF(tblbuyers[[#This Row],[Age]]&lt;30,"&lt;30",IF(tblbuyers[[#This Row],[Age]]&lt;=45,"30-45",IF(tblbuyers[[#This Row],[Age]]&lt;=60,"46-60","60+")))</f>
        <v>30-45</v>
      </c>
      <c r="Q22" t="str">
        <f>IF(tblbuyers[[#This Row],[Income]]&lt;30000,"Low",IF(tblbuyers[[#This Row],[Income]]&lt;=70000,"Medium","High"))</f>
        <v>Medium</v>
      </c>
      <c r="R22" s="7" t="str">
        <f>IF(OR(LOWER(TRIM(tblbuyers[[#This Row],[Purchased Bike]]))="yes",LOWER(TRIM(tblbuyers[[#This Row],[Purchased Bike]]))="y"),"Yes","No")</f>
        <v>Yes</v>
      </c>
    </row>
    <row r="23" spans="1:18" x14ac:dyDescent="0.25">
      <c r="A23">
        <v>21564</v>
      </c>
      <c r="B23" t="s">
        <v>37</v>
      </c>
      <c r="C23" t="s">
        <v>38</v>
      </c>
      <c r="D23" s="3">
        <v>80000</v>
      </c>
      <c r="E23">
        <v>0</v>
      </c>
      <c r="F23" t="s">
        <v>13</v>
      </c>
      <c r="G23" t="s">
        <v>21</v>
      </c>
      <c r="H23" t="s">
        <v>15</v>
      </c>
      <c r="I23">
        <v>4</v>
      </c>
      <c r="J23" t="s">
        <v>30</v>
      </c>
      <c r="K23" t="s">
        <v>24</v>
      </c>
      <c r="L23">
        <v>35</v>
      </c>
      <c r="M23" t="str">
        <f t="shared" si="0"/>
        <v>Middle Age</v>
      </c>
      <c r="N23" t="s">
        <v>18</v>
      </c>
      <c r="O23">
        <f>COUNTBLANK(tblbuyers[Income])</f>
        <v>0</v>
      </c>
      <c r="P23" t="str">
        <f>IF(tblbuyers[[#This Row],[Age]]&lt;30,"&lt;30",IF(tblbuyers[[#This Row],[Age]]&lt;=45,"30-45",IF(tblbuyers[[#This Row],[Age]]&lt;=60,"46-60","60+")))</f>
        <v>30-45</v>
      </c>
      <c r="Q23" t="str">
        <f>IF(tblbuyers[[#This Row],[Income]]&lt;30000,"Low",IF(tblbuyers[[#This Row],[Income]]&lt;=70000,"Medium","High"))</f>
        <v>High</v>
      </c>
      <c r="R23" s="7" t="str">
        <f>IF(OR(LOWER(TRIM(tblbuyers[[#This Row],[Purchased Bike]]))="yes",LOWER(TRIM(tblbuyers[[#This Row],[Purchased Bike]]))="y"),"Yes","No")</f>
        <v>No</v>
      </c>
    </row>
    <row r="24" spans="1:18" x14ac:dyDescent="0.25">
      <c r="A24">
        <v>19193</v>
      </c>
      <c r="B24" t="s">
        <v>37</v>
      </c>
      <c r="C24" t="s">
        <v>39</v>
      </c>
      <c r="D24" s="3">
        <v>40000</v>
      </c>
      <c r="E24">
        <v>2</v>
      </c>
      <c r="F24" t="s">
        <v>19</v>
      </c>
      <c r="G24" t="s">
        <v>20</v>
      </c>
      <c r="H24" t="s">
        <v>15</v>
      </c>
      <c r="I24">
        <v>0</v>
      </c>
      <c r="J24" t="s">
        <v>26</v>
      </c>
      <c r="K24" t="s">
        <v>17</v>
      </c>
      <c r="L24">
        <v>35</v>
      </c>
      <c r="M24" t="str">
        <f t="shared" si="0"/>
        <v>Middle Age</v>
      </c>
      <c r="N24" t="s">
        <v>15</v>
      </c>
      <c r="O24">
        <f>COUNTBLANK(tblbuyers[Income])</f>
        <v>0</v>
      </c>
      <c r="P24" t="str">
        <f>IF(tblbuyers[[#This Row],[Age]]&lt;30,"&lt;30",IF(tblbuyers[[#This Row],[Age]]&lt;=45,"30-45",IF(tblbuyers[[#This Row],[Age]]&lt;=60,"46-60","60+")))</f>
        <v>30-45</v>
      </c>
      <c r="Q24" t="str">
        <f>IF(tblbuyers[[#This Row],[Income]]&lt;30000,"Low",IF(tblbuyers[[#This Row],[Income]]&lt;=70000,"Medium","High"))</f>
        <v>Medium</v>
      </c>
      <c r="R24" s="7" t="str">
        <f>IF(OR(LOWER(TRIM(tblbuyers[[#This Row],[Purchased Bike]]))="yes",LOWER(TRIM(tblbuyers[[#This Row],[Purchased Bike]]))="y"),"Yes","No")</f>
        <v>Yes</v>
      </c>
    </row>
    <row r="25" spans="1:18" x14ac:dyDescent="0.25">
      <c r="A25">
        <v>26412</v>
      </c>
      <c r="B25" t="s">
        <v>36</v>
      </c>
      <c r="C25" t="s">
        <v>38</v>
      </c>
      <c r="D25" s="3">
        <v>80000</v>
      </c>
      <c r="E25">
        <v>5</v>
      </c>
      <c r="F25" t="s">
        <v>27</v>
      </c>
      <c r="G25" t="s">
        <v>28</v>
      </c>
      <c r="H25" t="s">
        <v>18</v>
      </c>
      <c r="I25">
        <v>3</v>
      </c>
      <c r="J25" t="s">
        <v>23</v>
      </c>
      <c r="K25" t="s">
        <v>17</v>
      </c>
      <c r="L25">
        <v>56</v>
      </c>
      <c r="M25" t="str">
        <f t="shared" si="0"/>
        <v>Old</v>
      </c>
      <c r="N25" t="s">
        <v>18</v>
      </c>
      <c r="O25">
        <f>COUNTBLANK(tblbuyers[Income])</f>
        <v>0</v>
      </c>
      <c r="P25" t="str">
        <f>IF(tblbuyers[[#This Row],[Age]]&lt;30,"&lt;30",IF(tblbuyers[[#This Row],[Age]]&lt;=45,"30-45",IF(tblbuyers[[#This Row],[Age]]&lt;=60,"46-60","60+")))</f>
        <v>46-60</v>
      </c>
      <c r="Q25" t="str">
        <f>IF(tblbuyers[[#This Row],[Income]]&lt;30000,"Low",IF(tblbuyers[[#This Row],[Income]]&lt;=70000,"Medium","High"))</f>
        <v>High</v>
      </c>
      <c r="R25" s="7" t="str">
        <f>IF(OR(LOWER(TRIM(tblbuyers[[#This Row],[Purchased Bike]]))="yes",LOWER(TRIM(tblbuyers[[#This Row],[Purchased Bike]]))="y"),"Yes","No")</f>
        <v>No</v>
      </c>
    </row>
    <row r="26" spans="1:18" x14ac:dyDescent="0.25">
      <c r="A26">
        <v>27184</v>
      </c>
      <c r="B26" t="s">
        <v>37</v>
      </c>
      <c r="C26" t="s">
        <v>39</v>
      </c>
      <c r="D26" s="3">
        <v>40000</v>
      </c>
      <c r="E26">
        <v>2</v>
      </c>
      <c r="F26" t="s">
        <v>19</v>
      </c>
      <c r="G26" t="s">
        <v>20</v>
      </c>
      <c r="H26" t="s">
        <v>18</v>
      </c>
      <c r="I26">
        <v>1</v>
      </c>
      <c r="J26" t="s">
        <v>16</v>
      </c>
      <c r="K26" t="s">
        <v>17</v>
      </c>
      <c r="L26">
        <v>34</v>
      </c>
      <c r="M26" t="str">
        <f t="shared" si="0"/>
        <v>Middle Age</v>
      </c>
      <c r="N26" t="s">
        <v>18</v>
      </c>
      <c r="O26">
        <f>COUNTBLANK(tblbuyers[Income])</f>
        <v>0</v>
      </c>
      <c r="P26" t="str">
        <f>IF(tblbuyers[[#This Row],[Age]]&lt;30,"&lt;30",IF(tblbuyers[[#This Row],[Age]]&lt;=45,"30-45",IF(tblbuyers[[#This Row],[Age]]&lt;=60,"46-60","60+")))</f>
        <v>30-45</v>
      </c>
      <c r="Q26" t="str">
        <f>IF(tblbuyers[[#This Row],[Income]]&lt;30000,"Low",IF(tblbuyers[[#This Row],[Income]]&lt;=70000,"Medium","High"))</f>
        <v>Medium</v>
      </c>
      <c r="R26" s="7" t="str">
        <f>IF(OR(LOWER(TRIM(tblbuyers[[#This Row],[Purchased Bike]]))="yes",LOWER(TRIM(tblbuyers[[#This Row],[Purchased Bike]]))="y"),"Yes","No")</f>
        <v>No</v>
      </c>
    </row>
    <row r="27" spans="1:18" x14ac:dyDescent="0.25">
      <c r="A27">
        <v>12590</v>
      </c>
      <c r="B27" t="s">
        <v>37</v>
      </c>
      <c r="C27" t="s">
        <v>39</v>
      </c>
      <c r="D27" s="3">
        <v>30000</v>
      </c>
      <c r="E27">
        <v>1</v>
      </c>
      <c r="F27" t="s">
        <v>13</v>
      </c>
      <c r="G27" t="s">
        <v>20</v>
      </c>
      <c r="H27" t="s">
        <v>15</v>
      </c>
      <c r="I27">
        <v>0</v>
      </c>
      <c r="J27" t="s">
        <v>16</v>
      </c>
      <c r="K27" t="s">
        <v>17</v>
      </c>
      <c r="L27">
        <v>63</v>
      </c>
      <c r="M27" t="str">
        <f t="shared" si="0"/>
        <v>Old</v>
      </c>
      <c r="N27" t="s">
        <v>18</v>
      </c>
      <c r="O27">
        <f>COUNTBLANK(tblbuyers[Income])</f>
        <v>0</v>
      </c>
      <c r="P27" t="str">
        <f>IF(tblbuyers[[#This Row],[Age]]&lt;30,"&lt;30",IF(tblbuyers[[#This Row],[Age]]&lt;=45,"30-45",IF(tblbuyers[[#This Row],[Age]]&lt;=60,"46-60","60+")))</f>
        <v>60+</v>
      </c>
      <c r="Q27" t="str">
        <f>IF(tblbuyers[[#This Row],[Income]]&lt;30000,"Low",IF(tblbuyers[[#This Row],[Income]]&lt;=70000,"Medium","High"))</f>
        <v>Medium</v>
      </c>
      <c r="R27" s="7" t="str">
        <f>IF(OR(LOWER(TRIM(tblbuyers[[#This Row],[Purchased Bike]]))="yes",LOWER(TRIM(tblbuyers[[#This Row],[Purchased Bike]]))="y"),"Yes","No")</f>
        <v>No</v>
      </c>
    </row>
    <row r="28" spans="1:18" x14ac:dyDescent="0.25">
      <c r="A28">
        <v>17841</v>
      </c>
      <c r="B28" t="s">
        <v>37</v>
      </c>
      <c r="C28" t="s">
        <v>39</v>
      </c>
      <c r="D28" s="3">
        <v>30000</v>
      </c>
      <c r="E28">
        <v>0</v>
      </c>
      <c r="F28" t="s">
        <v>19</v>
      </c>
      <c r="G28" t="s">
        <v>20</v>
      </c>
      <c r="H28" t="s">
        <v>18</v>
      </c>
      <c r="I28">
        <v>1</v>
      </c>
      <c r="J28" t="s">
        <v>16</v>
      </c>
      <c r="K28" t="s">
        <v>17</v>
      </c>
      <c r="L28">
        <v>29</v>
      </c>
      <c r="M28" t="str">
        <f t="shared" si="0"/>
        <v>Adolescent</v>
      </c>
      <c r="N28" t="s">
        <v>15</v>
      </c>
      <c r="O28">
        <f>COUNTBLANK(tblbuyers[Income])</f>
        <v>0</v>
      </c>
      <c r="P28" t="str">
        <f>IF(tblbuyers[[#This Row],[Age]]&lt;30,"&lt;30",IF(tblbuyers[[#This Row],[Age]]&lt;=45,"30-45",IF(tblbuyers[[#This Row],[Age]]&lt;=60,"46-60","60+")))</f>
        <v>&lt;30</v>
      </c>
      <c r="Q28" t="str">
        <f>IF(tblbuyers[[#This Row],[Income]]&lt;30000,"Low",IF(tblbuyers[[#This Row],[Income]]&lt;=70000,"Medium","High"))</f>
        <v>Medium</v>
      </c>
      <c r="R28" s="7" t="str">
        <f>IF(OR(LOWER(TRIM(tblbuyers[[#This Row],[Purchased Bike]]))="yes",LOWER(TRIM(tblbuyers[[#This Row],[Purchased Bike]]))="y"),"Yes","No")</f>
        <v>Yes</v>
      </c>
    </row>
    <row r="29" spans="1:18" x14ac:dyDescent="0.25">
      <c r="A29">
        <v>18283</v>
      </c>
      <c r="B29" t="s">
        <v>37</v>
      </c>
      <c r="C29" t="s">
        <v>38</v>
      </c>
      <c r="D29" s="3">
        <v>100000</v>
      </c>
      <c r="E29">
        <v>0</v>
      </c>
      <c r="F29" t="s">
        <v>13</v>
      </c>
      <c r="G29" t="s">
        <v>21</v>
      </c>
      <c r="H29" t="s">
        <v>18</v>
      </c>
      <c r="I29">
        <v>1</v>
      </c>
      <c r="J29" t="s">
        <v>23</v>
      </c>
      <c r="K29" t="s">
        <v>24</v>
      </c>
      <c r="L29">
        <v>40</v>
      </c>
      <c r="M29" t="str">
        <f t="shared" si="0"/>
        <v>Middle Age</v>
      </c>
      <c r="N29" t="s">
        <v>18</v>
      </c>
      <c r="O29">
        <f>COUNTBLANK(tblbuyers[Income])</f>
        <v>0</v>
      </c>
      <c r="P29" t="str">
        <f>IF(tblbuyers[[#This Row],[Age]]&lt;30,"&lt;30",IF(tblbuyers[[#This Row],[Age]]&lt;=45,"30-45",IF(tblbuyers[[#This Row],[Age]]&lt;=60,"46-60","60+")))</f>
        <v>30-45</v>
      </c>
      <c r="Q29" t="str">
        <f>IF(tblbuyers[[#This Row],[Income]]&lt;30000,"Low",IF(tblbuyers[[#This Row],[Income]]&lt;=70000,"Medium","High"))</f>
        <v>High</v>
      </c>
      <c r="R29" s="7" t="str">
        <f>IF(OR(LOWER(TRIM(tblbuyers[[#This Row],[Purchased Bike]]))="yes",LOWER(TRIM(tblbuyers[[#This Row],[Purchased Bike]]))="y"),"Yes","No")</f>
        <v>No</v>
      </c>
    </row>
    <row r="30" spans="1:18" x14ac:dyDescent="0.25">
      <c r="A30">
        <v>18299</v>
      </c>
      <c r="B30" t="s">
        <v>36</v>
      </c>
      <c r="C30" t="s">
        <v>39</v>
      </c>
      <c r="D30" s="3">
        <v>70000</v>
      </c>
      <c r="E30">
        <v>5</v>
      </c>
      <c r="F30" t="s">
        <v>19</v>
      </c>
      <c r="G30" t="s">
        <v>14</v>
      </c>
      <c r="H30" t="s">
        <v>15</v>
      </c>
      <c r="I30">
        <v>2</v>
      </c>
      <c r="J30" t="s">
        <v>23</v>
      </c>
      <c r="K30" t="s">
        <v>24</v>
      </c>
      <c r="L30">
        <v>44</v>
      </c>
      <c r="M30" t="str">
        <f t="shared" si="0"/>
        <v>Middle Age</v>
      </c>
      <c r="N30" t="s">
        <v>18</v>
      </c>
      <c r="O30">
        <f>COUNTBLANK(tblbuyers[Income])</f>
        <v>0</v>
      </c>
      <c r="P30" t="str">
        <f>IF(tblbuyers[[#This Row],[Age]]&lt;30,"&lt;30",IF(tblbuyers[[#This Row],[Age]]&lt;=45,"30-45",IF(tblbuyers[[#This Row],[Age]]&lt;=60,"46-60","60+")))</f>
        <v>30-45</v>
      </c>
      <c r="Q30" t="str">
        <f>IF(tblbuyers[[#This Row],[Income]]&lt;30000,"Low",IF(tblbuyers[[#This Row],[Income]]&lt;=70000,"Medium","High"))</f>
        <v>Medium</v>
      </c>
      <c r="R30" s="7" t="str">
        <f>IF(OR(LOWER(TRIM(tblbuyers[[#This Row],[Purchased Bike]]))="yes",LOWER(TRIM(tblbuyers[[#This Row],[Purchased Bike]]))="y"),"Yes","No")</f>
        <v>No</v>
      </c>
    </row>
    <row r="31" spans="1:18" x14ac:dyDescent="0.25">
      <c r="A31">
        <v>16466</v>
      </c>
      <c r="B31" t="s">
        <v>37</v>
      </c>
      <c r="C31" t="s">
        <v>38</v>
      </c>
      <c r="D31" s="3">
        <v>20000</v>
      </c>
      <c r="E31">
        <v>0</v>
      </c>
      <c r="F31" t="s">
        <v>29</v>
      </c>
      <c r="G31" t="s">
        <v>25</v>
      </c>
      <c r="H31" t="s">
        <v>18</v>
      </c>
      <c r="I31">
        <v>2</v>
      </c>
      <c r="J31" t="s">
        <v>16</v>
      </c>
      <c r="K31" t="s">
        <v>17</v>
      </c>
      <c r="L31">
        <v>32</v>
      </c>
      <c r="M31" t="str">
        <f t="shared" si="0"/>
        <v>Middle Age</v>
      </c>
      <c r="N31" t="s">
        <v>15</v>
      </c>
      <c r="O31">
        <f>COUNTBLANK(tblbuyers[Income])</f>
        <v>0</v>
      </c>
      <c r="P31" t="str">
        <f>IF(tblbuyers[[#This Row],[Age]]&lt;30,"&lt;30",IF(tblbuyers[[#This Row],[Age]]&lt;=45,"30-45",IF(tblbuyers[[#This Row],[Age]]&lt;=60,"46-60","60+")))</f>
        <v>30-45</v>
      </c>
      <c r="Q31" t="str">
        <f>IF(tblbuyers[[#This Row],[Income]]&lt;30000,"Low",IF(tblbuyers[[#This Row],[Income]]&lt;=70000,"Medium","High"))</f>
        <v>Low</v>
      </c>
      <c r="R31" s="7" t="str">
        <f>IF(OR(LOWER(TRIM(tblbuyers[[#This Row],[Purchased Bike]]))="yes",LOWER(TRIM(tblbuyers[[#This Row],[Purchased Bike]]))="y"),"Yes","No")</f>
        <v>Yes</v>
      </c>
    </row>
    <row r="32" spans="1:18" x14ac:dyDescent="0.25">
      <c r="A32">
        <v>19273</v>
      </c>
      <c r="B32" t="s">
        <v>36</v>
      </c>
      <c r="C32" t="s">
        <v>38</v>
      </c>
      <c r="D32" s="3">
        <v>20000</v>
      </c>
      <c r="E32">
        <v>2</v>
      </c>
      <c r="F32" t="s">
        <v>19</v>
      </c>
      <c r="G32" t="s">
        <v>25</v>
      </c>
      <c r="H32" t="s">
        <v>15</v>
      </c>
      <c r="I32">
        <v>0</v>
      </c>
      <c r="J32" t="s">
        <v>16</v>
      </c>
      <c r="K32" t="s">
        <v>17</v>
      </c>
      <c r="L32">
        <v>63</v>
      </c>
      <c r="M32" t="str">
        <f t="shared" si="0"/>
        <v>Old</v>
      </c>
      <c r="N32" t="s">
        <v>18</v>
      </c>
      <c r="O32">
        <f>COUNTBLANK(tblbuyers[Income])</f>
        <v>0</v>
      </c>
      <c r="P32" t="str">
        <f>IF(tblbuyers[[#This Row],[Age]]&lt;30,"&lt;30",IF(tblbuyers[[#This Row],[Age]]&lt;=45,"30-45",IF(tblbuyers[[#This Row],[Age]]&lt;=60,"46-60","60+")))</f>
        <v>60+</v>
      </c>
      <c r="Q32" t="str">
        <f>IF(tblbuyers[[#This Row],[Income]]&lt;30000,"Low",IF(tblbuyers[[#This Row],[Income]]&lt;=70000,"Medium","High"))</f>
        <v>Low</v>
      </c>
      <c r="R32" s="7" t="str">
        <f>IF(OR(LOWER(TRIM(tblbuyers[[#This Row],[Purchased Bike]]))="yes",LOWER(TRIM(tblbuyers[[#This Row],[Purchased Bike]]))="y"),"Yes","No")</f>
        <v>No</v>
      </c>
    </row>
    <row r="33" spans="1:18" x14ac:dyDescent="0.25">
      <c r="A33">
        <v>22400</v>
      </c>
      <c r="B33" t="s">
        <v>36</v>
      </c>
      <c r="C33" t="s">
        <v>39</v>
      </c>
      <c r="D33" s="3">
        <v>10000</v>
      </c>
      <c r="E33">
        <v>0</v>
      </c>
      <c r="F33" t="s">
        <v>19</v>
      </c>
      <c r="G33" t="s">
        <v>25</v>
      </c>
      <c r="H33" t="s">
        <v>18</v>
      </c>
      <c r="I33">
        <v>1</v>
      </c>
      <c r="J33" t="s">
        <v>16</v>
      </c>
      <c r="K33" t="s">
        <v>24</v>
      </c>
      <c r="L33">
        <v>26</v>
      </c>
      <c r="M33" t="str">
        <f t="shared" si="0"/>
        <v>Adolescent</v>
      </c>
      <c r="N33" t="s">
        <v>15</v>
      </c>
      <c r="O33">
        <f>COUNTBLANK(tblbuyers[Income])</f>
        <v>0</v>
      </c>
      <c r="P33" t="str">
        <f>IF(tblbuyers[[#This Row],[Age]]&lt;30,"&lt;30",IF(tblbuyers[[#This Row],[Age]]&lt;=45,"30-45",IF(tblbuyers[[#This Row],[Age]]&lt;=60,"46-60","60+")))</f>
        <v>&lt;30</v>
      </c>
      <c r="Q33" t="str">
        <f>IF(tblbuyers[[#This Row],[Income]]&lt;30000,"Low",IF(tblbuyers[[#This Row],[Income]]&lt;=70000,"Medium","High"))</f>
        <v>Low</v>
      </c>
      <c r="R33" s="7" t="str">
        <f>IF(OR(LOWER(TRIM(tblbuyers[[#This Row],[Purchased Bike]]))="yes",LOWER(TRIM(tblbuyers[[#This Row],[Purchased Bike]]))="y"),"Yes","No")</f>
        <v>Yes</v>
      </c>
    </row>
    <row r="34" spans="1:18" x14ac:dyDescent="0.25">
      <c r="A34">
        <v>20942</v>
      </c>
      <c r="B34" t="s">
        <v>37</v>
      </c>
      <c r="C34" t="s">
        <v>38</v>
      </c>
      <c r="D34" s="3">
        <v>20000</v>
      </c>
      <c r="E34">
        <v>0</v>
      </c>
      <c r="F34" t="s">
        <v>27</v>
      </c>
      <c r="G34" t="s">
        <v>25</v>
      </c>
      <c r="H34" t="s">
        <v>18</v>
      </c>
      <c r="I34">
        <v>1</v>
      </c>
      <c r="J34" t="s">
        <v>23</v>
      </c>
      <c r="K34" t="s">
        <v>17</v>
      </c>
      <c r="L34">
        <v>31</v>
      </c>
      <c r="M34" t="str">
        <f t="shared" si="0"/>
        <v>Middle Age</v>
      </c>
      <c r="N34" t="s">
        <v>18</v>
      </c>
      <c r="O34">
        <f>COUNTBLANK(tblbuyers[Income])</f>
        <v>0</v>
      </c>
      <c r="P34" t="str">
        <f>IF(tblbuyers[[#This Row],[Age]]&lt;30,"&lt;30",IF(tblbuyers[[#This Row],[Age]]&lt;=45,"30-45",IF(tblbuyers[[#This Row],[Age]]&lt;=60,"46-60","60+")))</f>
        <v>30-45</v>
      </c>
      <c r="Q34" t="str">
        <f>IF(tblbuyers[[#This Row],[Income]]&lt;30000,"Low",IF(tblbuyers[[#This Row],[Income]]&lt;=70000,"Medium","High"))</f>
        <v>Low</v>
      </c>
      <c r="R34" s="7" t="str">
        <f>IF(OR(LOWER(TRIM(tblbuyers[[#This Row],[Purchased Bike]]))="yes",LOWER(TRIM(tblbuyers[[#This Row],[Purchased Bike]]))="y"),"Yes","No")</f>
        <v>No</v>
      </c>
    </row>
    <row r="35" spans="1:18" x14ac:dyDescent="0.25">
      <c r="A35">
        <v>18484</v>
      </c>
      <c r="B35" t="s">
        <v>37</v>
      </c>
      <c r="C35" t="s">
        <v>39</v>
      </c>
      <c r="D35" s="3">
        <v>80000</v>
      </c>
      <c r="E35">
        <v>2</v>
      </c>
      <c r="F35" t="s">
        <v>27</v>
      </c>
      <c r="G35" t="s">
        <v>14</v>
      </c>
      <c r="H35" t="s">
        <v>18</v>
      </c>
      <c r="I35">
        <v>2</v>
      </c>
      <c r="J35" t="s">
        <v>26</v>
      </c>
      <c r="K35" t="s">
        <v>24</v>
      </c>
      <c r="L35">
        <v>50</v>
      </c>
      <c r="M35" t="str">
        <f t="shared" si="0"/>
        <v>Middle Age</v>
      </c>
      <c r="N35" t="s">
        <v>15</v>
      </c>
      <c r="O35">
        <f>COUNTBLANK(tblbuyers[Income])</f>
        <v>0</v>
      </c>
      <c r="P35" t="str">
        <f>IF(tblbuyers[[#This Row],[Age]]&lt;30,"&lt;30",IF(tblbuyers[[#This Row],[Age]]&lt;=45,"30-45",IF(tblbuyers[[#This Row],[Age]]&lt;=60,"46-60","60+")))</f>
        <v>46-60</v>
      </c>
      <c r="Q35" t="str">
        <f>IF(tblbuyers[[#This Row],[Income]]&lt;30000,"Low",IF(tblbuyers[[#This Row],[Income]]&lt;=70000,"Medium","High"))</f>
        <v>High</v>
      </c>
      <c r="R35" s="7" t="str">
        <f>IF(OR(LOWER(TRIM(tblbuyers[[#This Row],[Purchased Bike]]))="yes",LOWER(TRIM(tblbuyers[[#This Row],[Purchased Bike]]))="y"),"Yes","No")</f>
        <v>Yes</v>
      </c>
    </row>
    <row r="36" spans="1:18" x14ac:dyDescent="0.25">
      <c r="A36">
        <v>12291</v>
      </c>
      <c r="B36" t="s">
        <v>37</v>
      </c>
      <c r="C36" t="s">
        <v>39</v>
      </c>
      <c r="D36" s="3">
        <v>90000</v>
      </c>
      <c r="E36">
        <v>5</v>
      </c>
      <c r="F36" t="s">
        <v>19</v>
      </c>
      <c r="G36" t="s">
        <v>21</v>
      </c>
      <c r="H36" t="s">
        <v>18</v>
      </c>
      <c r="I36">
        <v>2</v>
      </c>
      <c r="J36" t="s">
        <v>22</v>
      </c>
      <c r="K36" t="s">
        <v>17</v>
      </c>
      <c r="L36">
        <v>62</v>
      </c>
      <c r="M36" t="str">
        <f t="shared" si="0"/>
        <v>Old</v>
      </c>
      <c r="N36" t="s">
        <v>15</v>
      </c>
      <c r="O36">
        <f>COUNTBLANK(tblbuyers[Income])</f>
        <v>0</v>
      </c>
      <c r="P36" t="str">
        <f>IF(tblbuyers[[#This Row],[Age]]&lt;30,"&lt;30",IF(tblbuyers[[#This Row],[Age]]&lt;=45,"30-45",IF(tblbuyers[[#This Row],[Age]]&lt;=60,"46-60","60+")))</f>
        <v>60+</v>
      </c>
      <c r="Q36" t="str">
        <f>IF(tblbuyers[[#This Row],[Income]]&lt;30000,"Low",IF(tblbuyers[[#This Row],[Income]]&lt;=70000,"Medium","High"))</f>
        <v>High</v>
      </c>
      <c r="R36" s="7" t="str">
        <f>IF(OR(LOWER(TRIM(tblbuyers[[#This Row],[Purchased Bike]]))="yes",LOWER(TRIM(tblbuyers[[#This Row],[Purchased Bike]]))="y"),"Yes","No")</f>
        <v>Yes</v>
      </c>
    </row>
    <row r="37" spans="1:18" x14ac:dyDescent="0.25">
      <c r="A37">
        <v>28380</v>
      </c>
      <c r="B37" t="s">
        <v>37</v>
      </c>
      <c r="C37" t="s">
        <v>38</v>
      </c>
      <c r="D37" s="3">
        <v>10000</v>
      </c>
      <c r="E37">
        <v>5</v>
      </c>
      <c r="F37" t="s">
        <v>29</v>
      </c>
      <c r="G37" t="s">
        <v>25</v>
      </c>
      <c r="H37" t="s">
        <v>18</v>
      </c>
      <c r="I37">
        <v>2</v>
      </c>
      <c r="J37" t="s">
        <v>16</v>
      </c>
      <c r="K37" t="s">
        <v>17</v>
      </c>
      <c r="L37">
        <v>41</v>
      </c>
      <c r="M37" t="str">
        <f t="shared" si="0"/>
        <v>Middle Age</v>
      </c>
      <c r="N37" t="s">
        <v>18</v>
      </c>
      <c r="O37">
        <f>COUNTBLANK(tblbuyers[Income])</f>
        <v>0</v>
      </c>
      <c r="P37" t="str">
        <f>IF(tblbuyers[[#This Row],[Age]]&lt;30,"&lt;30",IF(tblbuyers[[#This Row],[Age]]&lt;=45,"30-45",IF(tblbuyers[[#This Row],[Age]]&lt;=60,"46-60","60+")))</f>
        <v>30-45</v>
      </c>
      <c r="Q37" t="str">
        <f>IF(tblbuyers[[#This Row],[Income]]&lt;30000,"Low",IF(tblbuyers[[#This Row],[Income]]&lt;=70000,"Medium","High"))</f>
        <v>Low</v>
      </c>
      <c r="R37" s="7" t="str">
        <f>IF(OR(LOWER(TRIM(tblbuyers[[#This Row],[Purchased Bike]]))="yes",LOWER(TRIM(tblbuyers[[#This Row],[Purchased Bike]]))="y"),"Yes","No")</f>
        <v>No</v>
      </c>
    </row>
    <row r="38" spans="1:18" x14ac:dyDescent="0.25">
      <c r="A38">
        <v>17891</v>
      </c>
      <c r="B38" t="s">
        <v>36</v>
      </c>
      <c r="C38" t="s">
        <v>38</v>
      </c>
      <c r="D38" s="3">
        <v>10000</v>
      </c>
      <c r="E38">
        <v>2</v>
      </c>
      <c r="F38" t="s">
        <v>19</v>
      </c>
      <c r="G38" t="s">
        <v>25</v>
      </c>
      <c r="H38" t="s">
        <v>15</v>
      </c>
      <c r="I38">
        <v>1</v>
      </c>
      <c r="J38" t="s">
        <v>16</v>
      </c>
      <c r="K38" t="s">
        <v>17</v>
      </c>
      <c r="L38">
        <v>50</v>
      </c>
      <c r="M38" t="str">
        <f t="shared" si="0"/>
        <v>Middle Age</v>
      </c>
      <c r="N38" t="s">
        <v>15</v>
      </c>
      <c r="O38">
        <f>COUNTBLANK(tblbuyers[Income])</f>
        <v>0</v>
      </c>
      <c r="P38" t="str">
        <f>IF(tblbuyers[[#This Row],[Age]]&lt;30,"&lt;30",IF(tblbuyers[[#This Row],[Age]]&lt;=45,"30-45",IF(tblbuyers[[#This Row],[Age]]&lt;=60,"46-60","60+")))</f>
        <v>46-60</v>
      </c>
      <c r="Q38" t="str">
        <f>IF(tblbuyers[[#This Row],[Income]]&lt;30000,"Low",IF(tblbuyers[[#This Row],[Income]]&lt;=70000,"Medium","High"))</f>
        <v>Low</v>
      </c>
      <c r="R38" s="7" t="str">
        <f>IF(OR(LOWER(TRIM(tblbuyers[[#This Row],[Purchased Bike]]))="yes",LOWER(TRIM(tblbuyers[[#This Row],[Purchased Bike]]))="y"),"Yes","No")</f>
        <v>Yes</v>
      </c>
    </row>
    <row r="39" spans="1:18" x14ac:dyDescent="0.25">
      <c r="A39">
        <v>27832</v>
      </c>
      <c r="B39" t="s">
        <v>37</v>
      </c>
      <c r="C39" t="s">
        <v>38</v>
      </c>
      <c r="D39" s="3">
        <v>30000</v>
      </c>
      <c r="E39">
        <v>0</v>
      </c>
      <c r="F39" t="s">
        <v>19</v>
      </c>
      <c r="G39" t="s">
        <v>20</v>
      </c>
      <c r="H39" t="s">
        <v>18</v>
      </c>
      <c r="I39">
        <v>1</v>
      </c>
      <c r="J39" t="s">
        <v>22</v>
      </c>
      <c r="K39" t="s">
        <v>17</v>
      </c>
      <c r="L39">
        <v>30</v>
      </c>
      <c r="M39" t="str">
        <f t="shared" si="0"/>
        <v>Adolescent</v>
      </c>
      <c r="N39" t="s">
        <v>18</v>
      </c>
      <c r="O39">
        <f>COUNTBLANK(tblbuyers[Income])</f>
        <v>0</v>
      </c>
      <c r="P39" t="str">
        <f>IF(tblbuyers[[#This Row],[Age]]&lt;30,"&lt;30",IF(tblbuyers[[#This Row],[Age]]&lt;=45,"30-45",IF(tblbuyers[[#This Row],[Age]]&lt;=60,"46-60","60+")))</f>
        <v>30-45</v>
      </c>
      <c r="Q39" t="str">
        <f>IF(tblbuyers[[#This Row],[Income]]&lt;30000,"Low",IF(tblbuyers[[#This Row],[Income]]&lt;=70000,"Medium","High"))</f>
        <v>Medium</v>
      </c>
      <c r="R39" s="7" t="str">
        <f>IF(OR(LOWER(TRIM(tblbuyers[[#This Row],[Purchased Bike]]))="yes",LOWER(TRIM(tblbuyers[[#This Row],[Purchased Bike]]))="y"),"Yes","No")</f>
        <v>No</v>
      </c>
    </row>
    <row r="40" spans="1:18" x14ac:dyDescent="0.25">
      <c r="A40">
        <v>26863</v>
      </c>
      <c r="B40" t="s">
        <v>37</v>
      </c>
      <c r="C40" t="s">
        <v>39</v>
      </c>
      <c r="D40" s="3">
        <v>20000</v>
      </c>
      <c r="E40">
        <v>0</v>
      </c>
      <c r="F40" t="s">
        <v>27</v>
      </c>
      <c r="G40" t="s">
        <v>25</v>
      </c>
      <c r="H40" t="s">
        <v>18</v>
      </c>
      <c r="I40">
        <v>1</v>
      </c>
      <c r="J40" t="s">
        <v>22</v>
      </c>
      <c r="K40" t="s">
        <v>17</v>
      </c>
      <c r="L40">
        <v>28</v>
      </c>
      <c r="M40" t="str">
        <f t="shared" si="0"/>
        <v>Adolescent</v>
      </c>
      <c r="N40" t="s">
        <v>18</v>
      </c>
      <c r="O40">
        <f>COUNTBLANK(tblbuyers[Income])</f>
        <v>0</v>
      </c>
      <c r="P40" t="str">
        <f>IF(tblbuyers[[#This Row],[Age]]&lt;30,"&lt;30",IF(tblbuyers[[#This Row],[Age]]&lt;=45,"30-45",IF(tblbuyers[[#This Row],[Age]]&lt;=60,"46-60","60+")))</f>
        <v>&lt;30</v>
      </c>
      <c r="Q40" t="str">
        <f>IF(tblbuyers[[#This Row],[Income]]&lt;30000,"Low",IF(tblbuyers[[#This Row],[Income]]&lt;=70000,"Medium","High"))</f>
        <v>Low</v>
      </c>
      <c r="R40" s="7" t="str">
        <f>IF(OR(LOWER(TRIM(tblbuyers[[#This Row],[Purchased Bike]]))="yes",LOWER(TRIM(tblbuyers[[#This Row],[Purchased Bike]]))="y"),"Yes","No")</f>
        <v>No</v>
      </c>
    </row>
    <row r="41" spans="1:18" x14ac:dyDescent="0.25">
      <c r="A41">
        <v>16259</v>
      </c>
      <c r="B41" t="s">
        <v>37</v>
      </c>
      <c r="C41" t="s">
        <v>38</v>
      </c>
      <c r="D41" s="3">
        <v>10000</v>
      </c>
      <c r="E41">
        <v>4</v>
      </c>
      <c r="F41" t="s">
        <v>29</v>
      </c>
      <c r="G41" t="s">
        <v>25</v>
      </c>
      <c r="H41" t="s">
        <v>15</v>
      </c>
      <c r="I41">
        <v>2</v>
      </c>
      <c r="J41" t="s">
        <v>16</v>
      </c>
      <c r="K41" t="s">
        <v>17</v>
      </c>
      <c r="L41">
        <v>40</v>
      </c>
      <c r="M41" t="str">
        <f t="shared" si="0"/>
        <v>Middle Age</v>
      </c>
      <c r="N41" t="s">
        <v>15</v>
      </c>
      <c r="O41">
        <f>COUNTBLANK(tblbuyers[Income])</f>
        <v>0</v>
      </c>
      <c r="P41" t="str">
        <f>IF(tblbuyers[[#This Row],[Age]]&lt;30,"&lt;30",IF(tblbuyers[[#This Row],[Age]]&lt;=45,"30-45",IF(tblbuyers[[#This Row],[Age]]&lt;=60,"46-60","60+")))</f>
        <v>30-45</v>
      </c>
      <c r="Q41" t="str">
        <f>IF(tblbuyers[[#This Row],[Income]]&lt;30000,"Low",IF(tblbuyers[[#This Row],[Income]]&lt;=70000,"Medium","High"))</f>
        <v>Low</v>
      </c>
      <c r="R41" s="7" t="str">
        <f>IF(OR(LOWER(TRIM(tblbuyers[[#This Row],[Purchased Bike]]))="yes",LOWER(TRIM(tblbuyers[[#This Row],[Purchased Bike]]))="y"),"Yes","No")</f>
        <v>Yes</v>
      </c>
    </row>
    <row r="42" spans="1:18" x14ac:dyDescent="0.25">
      <c r="A42">
        <v>27803</v>
      </c>
      <c r="B42" t="s">
        <v>37</v>
      </c>
      <c r="C42" t="s">
        <v>38</v>
      </c>
      <c r="D42" s="3">
        <v>30000</v>
      </c>
      <c r="E42">
        <v>2</v>
      </c>
      <c r="F42" t="s">
        <v>19</v>
      </c>
      <c r="G42" t="s">
        <v>20</v>
      </c>
      <c r="H42" t="s">
        <v>18</v>
      </c>
      <c r="I42">
        <v>0</v>
      </c>
      <c r="J42" t="s">
        <v>16</v>
      </c>
      <c r="K42" t="s">
        <v>17</v>
      </c>
      <c r="L42">
        <v>43</v>
      </c>
      <c r="M42" t="str">
        <f t="shared" si="0"/>
        <v>Middle Age</v>
      </c>
      <c r="N42" t="s">
        <v>18</v>
      </c>
      <c r="O42">
        <f>COUNTBLANK(tblbuyers[Income])</f>
        <v>0</v>
      </c>
      <c r="P42" t="str">
        <f>IF(tblbuyers[[#This Row],[Age]]&lt;30,"&lt;30",IF(tblbuyers[[#This Row],[Age]]&lt;=45,"30-45",IF(tblbuyers[[#This Row],[Age]]&lt;=60,"46-60","60+")))</f>
        <v>30-45</v>
      </c>
      <c r="Q42" t="str">
        <f>IF(tblbuyers[[#This Row],[Income]]&lt;30000,"Low",IF(tblbuyers[[#This Row],[Income]]&lt;=70000,"Medium","High"))</f>
        <v>Medium</v>
      </c>
      <c r="R42" s="7" t="str">
        <f>IF(OR(LOWER(TRIM(tblbuyers[[#This Row],[Purchased Bike]]))="yes",LOWER(TRIM(tblbuyers[[#This Row],[Purchased Bike]]))="y"),"Yes","No")</f>
        <v>No</v>
      </c>
    </row>
    <row r="43" spans="1:18" x14ac:dyDescent="0.25">
      <c r="A43">
        <v>14347</v>
      </c>
      <c r="B43" t="s">
        <v>37</v>
      </c>
      <c r="C43" t="s">
        <v>38</v>
      </c>
      <c r="D43" s="3">
        <v>40000</v>
      </c>
      <c r="E43">
        <v>2</v>
      </c>
      <c r="F43" t="s">
        <v>13</v>
      </c>
      <c r="G43" t="s">
        <v>28</v>
      </c>
      <c r="H43" t="s">
        <v>15</v>
      </c>
      <c r="I43">
        <v>2</v>
      </c>
      <c r="J43" t="s">
        <v>23</v>
      </c>
      <c r="K43" t="s">
        <v>24</v>
      </c>
      <c r="L43">
        <v>65</v>
      </c>
      <c r="M43" t="str">
        <f t="shared" si="0"/>
        <v>Old</v>
      </c>
      <c r="N43" t="s">
        <v>15</v>
      </c>
      <c r="O43">
        <f>COUNTBLANK(tblbuyers[Income])</f>
        <v>0</v>
      </c>
      <c r="P43" t="str">
        <f>IF(tblbuyers[[#This Row],[Age]]&lt;30,"&lt;30",IF(tblbuyers[[#This Row],[Age]]&lt;=45,"30-45",IF(tblbuyers[[#This Row],[Age]]&lt;=60,"46-60","60+")))</f>
        <v>60+</v>
      </c>
      <c r="Q43" t="str">
        <f>IF(tblbuyers[[#This Row],[Income]]&lt;30000,"Low",IF(tblbuyers[[#This Row],[Income]]&lt;=70000,"Medium","High"))</f>
        <v>Medium</v>
      </c>
      <c r="R43" s="7" t="str">
        <f>IF(OR(LOWER(TRIM(tblbuyers[[#This Row],[Purchased Bike]]))="yes",LOWER(TRIM(tblbuyers[[#This Row],[Purchased Bike]]))="y"),"Yes","No")</f>
        <v>Yes</v>
      </c>
    </row>
    <row r="44" spans="1:18" x14ac:dyDescent="0.25">
      <c r="A44">
        <v>17703</v>
      </c>
      <c r="B44" t="s">
        <v>36</v>
      </c>
      <c r="C44" t="s">
        <v>38</v>
      </c>
      <c r="D44" s="3">
        <v>10000</v>
      </c>
      <c r="E44">
        <v>1</v>
      </c>
      <c r="F44" t="s">
        <v>31</v>
      </c>
      <c r="G44" t="s">
        <v>25</v>
      </c>
      <c r="H44" t="s">
        <v>15</v>
      </c>
      <c r="I44">
        <v>0</v>
      </c>
      <c r="J44" t="s">
        <v>16</v>
      </c>
      <c r="K44" t="s">
        <v>17</v>
      </c>
      <c r="L44">
        <v>40</v>
      </c>
      <c r="M44" t="str">
        <f t="shared" si="0"/>
        <v>Middle Age</v>
      </c>
      <c r="N44" t="s">
        <v>18</v>
      </c>
      <c r="O44">
        <f>COUNTBLANK(tblbuyers[Income])</f>
        <v>0</v>
      </c>
      <c r="P44" t="str">
        <f>IF(tblbuyers[[#This Row],[Age]]&lt;30,"&lt;30",IF(tblbuyers[[#This Row],[Age]]&lt;=45,"30-45",IF(tblbuyers[[#This Row],[Age]]&lt;=60,"46-60","60+")))</f>
        <v>30-45</v>
      </c>
      <c r="Q44" t="str">
        <f>IF(tblbuyers[[#This Row],[Income]]&lt;30000,"Low",IF(tblbuyers[[#This Row],[Income]]&lt;=70000,"Medium","High"))</f>
        <v>Low</v>
      </c>
      <c r="R44" s="7" t="str">
        <f>IF(OR(LOWER(TRIM(tblbuyers[[#This Row],[Purchased Bike]]))="yes",LOWER(TRIM(tblbuyers[[#This Row],[Purchased Bike]]))="y"),"Yes","No")</f>
        <v>No</v>
      </c>
    </row>
    <row r="45" spans="1:18" x14ac:dyDescent="0.25">
      <c r="A45">
        <v>17185</v>
      </c>
      <c r="B45" t="s">
        <v>36</v>
      </c>
      <c r="C45" t="s">
        <v>38</v>
      </c>
      <c r="D45" s="3">
        <v>170000</v>
      </c>
      <c r="E45">
        <v>4</v>
      </c>
      <c r="F45" t="s">
        <v>19</v>
      </c>
      <c r="G45" t="s">
        <v>21</v>
      </c>
      <c r="H45" t="s">
        <v>18</v>
      </c>
      <c r="I45">
        <v>3</v>
      </c>
      <c r="J45" t="s">
        <v>23</v>
      </c>
      <c r="K45" t="s">
        <v>17</v>
      </c>
      <c r="L45">
        <v>48</v>
      </c>
      <c r="M45" t="str">
        <f t="shared" si="0"/>
        <v>Middle Age</v>
      </c>
      <c r="N45" t="s">
        <v>15</v>
      </c>
      <c r="O45">
        <f>COUNTBLANK(tblbuyers[Income])</f>
        <v>0</v>
      </c>
      <c r="P45" t="str">
        <f>IF(tblbuyers[[#This Row],[Age]]&lt;30,"&lt;30",IF(tblbuyers[[#This Row],[Age]]&lt;=45,"30-45",IF(tblbuyers[[#This Row],[Age]]&lt;=60,"46-60","60+")))</f>
        <v>46-60</v>
      </c>
      <c r="Q45" t="str">
        <f>IF(tblbuyers[[#This Row],[Income]]&lt;30000,"Low",IF(tblbuyers[[#This Row],[Income]]&lt;=70000,"Medium","High"))</f>
        <v>High</v>
      </c>
      <c r="R45" s="7" t="str">
        <f>IF(OR(LOWER(TRIM(tblbuyers[[#This Row],[Purchased Bike]]))="yes",LOWER(TRIM(tblbuyers[[#This Row],[Purchased Bike]]))="y"),"Yes","No")</f>
        <v>Yes</v>
      </c>
    </row>
    <row r="46" spans="1:18" x14ac:dyDescent="0.25">
      <c r="A46">
        <v>29380</v>
      </c>
      <c r="B46" t="s">
        <v>36</v>
      </c>
      <c r="C46" t="s">
        <v>38</v>
      </c>
      <c r="D46" s="3">
        <v>20000</v>
      </c>
      <c r="E46">
        <v>3</v>
      </c>
      <c r="F46" t="s">
        <v>27</v>
      </c>
      <c r="G46" t="s">
        <v>25</v>
      </c>
      <c r="H46" t="s">
        <v>15</v>
      </c>
      <c r="I46">
        <v>0</v>
      </c>
      <c r="J46" t="s">
        <v>16</v>
      </c>
      <c r="K46" t="s">
        <v>17</v>
      </c>
      <c r="L46">
        <v>41</v>
      </c>
      <c r="M46" t="str">
        <f t="shared" si="0"/>
        <v>Middle Age</v>
      </c>
      <c r="N46" t="s">
        <v>15</v>
      </c>
      <c r="O46">
        <f>COUNTBLANK(tblbuyers[Income])</f>
        <v>0</v>
      </c>
      <c r="P46" t="str">
        <f>IF(tblbuyers[[#This Row],[Age]]&lt;30,"&lt;30",IF(tblbuyers[[#This Row],[Age]]&lt;=45,"30-45",IF(tblbuyers[[#This Row],[Age]]&lt;=60,"46-60","60+")))</f>
        <v>30-45</v>
      </c>
      <c r="Q46" t="str">
        <f>IF(tblbuyers[[#This Row],[Income]]&lt;30000,"Low",IF(tblbuyers[[#This Row],[Income]]&lt;=70000,"Medium","High"))</f>
        <v>Low</v>
      </c>
      <c r="R46" s="7" t="str">
        <f>IF(OR(LOWER(TRIM(tblbuyers[[#This Row],[Purchased Bike]]))="yes",LOWER(TRIM(tblbuyers[[#This Row],[Purchased Bike]]))="y"),"Yes","No")</f>
        <v>Yes</v>
      </c>
    </row>
    <row r="47" spans="1:18" x14ac:dyDescent="0.25">
      <c r="A47">
        <v>23986</v>
      </c>
      <c r="B47" t="s">
        <v>36</v>
      </c>
      <c r="C47" t="s">
        <v>38</v>
      </c>
      <c r="D47" s="3">
        <v>20000</v>
      </c>
      <c r="E47">
        <v>1</v>
      </c>
      <c r="F47" t="s">
        <v>13</v>
      </c>
      <c r="G47" t="s">
        <v>20</v>
      </c>
      <c r="H47" t="s">
        <v>15</v>
      </c>
      <c r="I47">
        <v>0</v>
      </c>
      <c r="J47" t="s">
        <v>16</v>
      </c>
      <c r="K47" t="s">
        <v>17</v>
      </c>
      <c r="L47">
        <v>66</v>
      </c>
      <c r="M47" t="str">
        <f t="shared" si="0"/>
        <v>Old</v>
      </c>
      <c r="N47" t="s">
        <v>15</v>
      </c>
      <c r="O47">
        <f>COUNTBLANK(tblbuyers[Income])</f>
        <v>0</v>
      </c>
      <c r="P47" t="str">
        <f>IF(tblbuyers[[#This Row],[Age]]&lt;30,"&lt;30",IF(tblbuyers[[#This Row],[Age]]&lt;=45,"30-45",IF(tblbuyers[[#This Row],[Age]]&lt;=60,"46-60","60+")))</f>
        <v>60+</v>
      </c>
      <c r="Q47" t="str">
        <f>IF(tblbuyers[[#This Row],[Income]]&lt;30000,"Low",IF(tblbuyers[[#This Row],[Income]]&lt;=70000,"Medium","High"))</f>
        <v>Low</v>
      </c>
      <c r="R47" s="7" t="str">
        <f>IF(OR(LOWER(TRIM(tblbuyers[[#This Row],[Purchased Bike]]))="yes",LOWER(TRIM(tblbuyers[[#This Row],[Purchased Bike]]))="y"),"Yes","No")</f>
        <v>Yes</v>
      </c>
    </row>
    <row r="48" spans="1:18" x14ac:dyDescent="0.25">
      <c r="A48">
        <v>24466</v>
      </c>
      <c r="B48" t="s">
        <v>36</v>
      </c>
      <c r="C48" t="s">
        <v>38</v>
      </c>
      <c r="D48" s="3">
        <v>60000</v>
      </c>
      <c r="E48">
        <v>1</v>
      </c>
      <c r="F48" t="s">
        <v>19</v>
      </c>
      <c r="G48" t="s">
        <v>14</v>
      </c>
      <c r="H48" t="s">
        <v>15</v>
      </c>
      <c r="I48">
        <v>1</v>
      </c>
      <c r="J48" t="s">
        <v>23</v>
      </c>
      <c r="K48" t="s">
        <v>24</v>
      </c>
      <c r="L48">
        <v>46</v>
      </c>
      <c r="M48" t="str">
        <f t="shared" si="0"/>
        <v>Middle Age</v>
      </c>
      <c r="N48" t="s">
        <v>15</v>
      </c>
      <c r="O48">
        <f>COUNTBLANK(tblbuyers[Income])</f>
        <v>0</v>
      </c>
      <c r="P48" t="str">
        <f>IF(tblbuyers[[#This Row],[Age]]&lt;30,"&lt;30",IF(tblbuyers[[#This Row],[Age]]&lt;=45,"30-45",IF(tblbuyers[[#This Row],[Age]]&lt;=60,"46-60","60+")))</f>
        <v>46-60</v>
      </c>
      <c r="Q48" t="str">
        <f>IF(tblbuyers[[#This Row],[Income]]&lt;30000,"Low",IF(tblbuyers[[#This Row],[Income]]&lt;=70000,"Medium","High"))</f>
        <v>Medium</v>
      </c>
      <c r="R48" s="7" t="str">
        <f>IF(OR(LOWER(TRIM(tblbuyers[[#This Row],[Purchased Bike]]))="yes",LOWER(TRIM(tblbuyers[[#This Row],[Purchased Bike]]))="y"),"Yes","No")</f>
        <v>Yes</v>
      </c>
    </row>
    <row r="49" spans="1:18" x14ac:dyDescent="0.25">
      <c r="A49">
        <v>29097</v>
      </c>
      <c r="B49" t="s">
        <v>37</v>
      </c>
      <c r="C49" t="s">
        <v>38</v>
      </c>
      <c r="D49" s="3">
        <v>40000</v>
      </c>
      <c r="E49">
        <v>2</v>
      </c>
      <c r="F49" t="s">
        <v>19</v>
      </c>
      <c r="G49" t="s">
        <v>14</v>
      </c>
      <c r="H49" t="s">
        <v>15</v>
      </c>
      <c r="I49">
        <v>2</v>
      </c>
      <c r="J49" t="s">
        <v>23</v>
      </c>
      <c r="K49" t="s">
        <v>24</v>
      </c>
      <c r="L49">
        <v>52</v>
      </c>
      <c r="M49" t="str">
        <f t="shared" si="0"/>
        <v>Middle Age</v>
      </c>
      <c r="N49" t="s">
        <v>15</v>
      </c>
      <c r="O49">
        <f>COUNTBLANK(tblbuyers[Income])</f>
        <v>0</v>
      </c>
      <c r="P49" t="str">
        <f>IF(tblbuyers[[#This Row],[Age]]&lt;30,"&lt;30",IF(tblbuyers[[#This Row],[Age]]&lt;=45,"30-45",IF(tblbuyers[[#This Row],[Age]]&lt;=60,"46-60","60+")))</f>
        <v>46-60</v>
      </c>
      <c r="Q49" t="str">
        <f>IF(tblbuyers[[#This Row],[Income]]&lt;30000,"Low",IF(tblbuyers[[#This Row],[Income]]&lt;=70000,"Medium","High"))</f>
        <v>Medium</v>
      </c>
      <c r="R49" s="7" t="str">
        <f>IF(OR(LOWER(TRIM(tblbuyers[[#This Row],[Purchased Bike]]))="yes",LOWER(TRIM(tblbuyers[[#This Row],[Purchased Bike]]))="y"),"Yes","No")</f>
        <v>Yes</v>
      </c>
    </row>
    <row r="50" spans="1:18" x14ac:dyDescent="0.25">
      <c r="A50">
        <v>19487</v>
      </c>
      <c r="B50" t="s">
        <v>36</v>
      </c>
      <c r="C50" t="s">
        <v>39</v>
      </c>
      <c r="D50" s="3">
        <v>30000</v>
      </c>
      <c r="E50">
        <v>2</v>
      </c>
      <c r="F50" t="s">
        <v>19</v>
      </c>
      <c r="G50" t="s">
        <v>20</v>
      </c>
      <c r="H50" t="s">
        <v>18</v>
      </c>
      <c r="I50">
        <v>2</v>
      </c>
      <c r="J50" t="s">
        <v>16</v>
      </c>
      <c r="K50" t="s">
        <v>17</v>
      </c>
      <c r="L50">
        <v>42</v>
      </c>
      <c r="M50" t="str">
        <f t="shared" si="0"/>
        <v>Middle Age</v>
      </c>
      <c r="N50" t="s">
        <v>18</v>
      </c>
      <c r="O50">
        <f>COUNTBLANK(tblbuyers[Income])</f>
        <v>0</v>
      </c>
      <c r="P50" t="str">
        <f>IF(tblbuyers[[#This Row],[Age]]&lt;30,"&lt;30",IF(tblbuyers[[#This Row],[Age]]&lt;=45,"30-45",IF(tblbuyers[[#This Row],[Age]]&lt;=60,"46-60","60+")))</f>
        <v>30-45</v>
      </c>
      <c r="Q50" t="str">
        <f>IF(tblbuyers[[#This Row],[Income]]&lt;30000,"Low",IF(tblbuyers[[#This Row],[Income]]&lt;=70000,"Medium","High"))</f>
        <v>Medium</v>
      </c>
      <c r="R50" s="7" t="str">
        <f>IF(OR(LOWER(TRIM(tblbuyers[[#This Row],[Purchased Bike]]))="yes",LOWER(TRIM(tblbuyers[[#This Row],[Purchased Bike]]))="y"),"Yes","No")</f>
        <v>No</v>
      </c>
    </row>
    <row r="51" spans="1:18" x14ac:dyDescent="0.25">
      <c r="A51">
        <v>14939</v>
      </c>
      <c r="B51" t="s">
        <v>37</v>
      </c>
      <c r="C51" t="s">
        <v>39</v>
      </c>
      <c r="D51" s="3">
        <v>40000</v>
      </c>
      <c r="E51">
        <v>0</v>
      </c>
      <c r="F51" t="s">
        <v>13</v>
      </c>
      <c r="G51" t="s">
        <v>20</v>
      </c>
      <c r="H51" t="s">
        <v>15</v>
      </c>
      <c r="I51">
        <v>0</v>
      </c>
      <c r="J51" t="s">
        <v>16</v>
      </c>
      <c r="K51" t="s">
        <v>17</v>
      </c>
      <c r="L51">
        <v>39</v>
      </c>
      <c r="M51" t="str">
        <f t="shared" si="0"/>
        <v>Middle Age</v>
      </c>
      <c r="N51" t="s">
        <v>15</v>
      </c>
      <c r="O51">
        <f>COUNTBLANK(tblbuyers[Income])</f>
        <v>0</v>
      </c>
      <c r="P51" t="str">
        <f>IF(tblbuyers[[#This Row],[Age]]&lt;30,"&lt;30",IF(tblbuyers[[#This Row],[Age]]&lt;=45,"30-45",IF(tblbuyers[[#This Row],[Age]]&lt;=60,"46-60","60+")))</f>
        <v>30-45</v>
      </c>
      <c r="Q51" t="str">
        <f>IF(tblbuyers[[#This Row],[Income]]&lt;30000,"Low",IF(tblbuyers[[#This Row],[Income]]&lt;=70000,"Medium","High"))</f>
        <v>Medium</v>
      </c>
      <c r="R51" s="7" t="str">
        <f>IF(OR(LOWER(TRIM(tblbuyers[[#This Row],[Purchased Bike]]))="yes",LOWER(TRIM(tblbuyers[[#This Row],[Purchased Bike]]))="y"),"Yes","No")</f>
        <v>Yes</v>
      </c>
    </row>
    <row r="52" spans="1:18" x14ac:dyDescent="0.25">
      <c r="A52">
        <v>13826</v>
      </c>
      <c r="B52" t="s">
        <v>37</v>
      </c>
      <c r="C52" t="s">
        <v>38</v>
      </c>
      <c r="D52" s="3">
        <v>30000</v>
      </c>
      <c r="E52">
        <v>0</v>
      </c>
      <c r="F52" t="s">
        <v>19</v>
      </c>
      <c r="G52" t="s">
        <v>20</v>
      </c>
      <c r="H52" t="s">
        <v>18</v>
      </c>
      <c r="I52">
        <v>1</v>
      </c>
      <c r="J52" t="s">
        <v>16</v>
      </c>
      <c r="K52" t="s">
        <v>17</v>
      </c>
      <c r="L52">
        <v>28</v>
      </c>
      <c r="M52" t="str">
        <f t="shared" si="0"/>
        <v>Adolescent</v>
      </c>
      <c r="N52" t="s">
        <v>18</v>
      </c>
      <c r="O52">
        <f>COUNTBLANK(tblbuyers[Income])</f>
        <v>0</v>
      </c>
      <c r="P52" t="str">
        <f>IF(tblbuyers[[#This Row],[Age]]&lt;30,"&lt;30",IF(tblbuyers[[#This Row],[Age]]&lt;=45,"30-45",IF(tblbuyers[[#This Row],[Age]]&lt;=60,"46-60","60+")))</f>
        <v>&lt;30</v>
      </c>
      <c r="Q52" t="str">
        <f>IF(tblbuyers[[#This Row],[Income]]&lt;30000,"Low",IF(tblbuyers[[#This Row],[Income]]&lt;=70000,"Medium","High"))</f>
        <v>Medium</v>
      </c>
      <c r="R52" s="7" t="str">
        <f>IF(OR(LOWER(TRIM(tblbuyers[[#This Row],[Purchased Bike]]))="yes",LOWER(TRIM(tblbuyers[[#This Row],[Purchased Bike]]))="y"),"Yes","No")</f>
        <v>No</v>
      </c>
    </row>
    <row r="53" spans="1:18" x14ac:dyDescent="0.25">
      <c r="A53">
        <v>20619</v>
      </c>
      <c r="B53" t="s">
        <v>37</v>
      </c>
      <c r="C53" t="s">
        <v>39</v>
      </c>
      <c r="D53" s="3">
        <v>80000</v>
      </c>
      <c r="E53">
        <v>0</v>
      </c>
      <c r="F53" t="s">
        <v>13</v>
      </c>
      <c r="G53" t="s">
        <v>21</v>
      </c>
      <c r="H53" t="s">
        <v>18</v>
      </c>
      <c r="I53">
        <v>4</v>
      </c>
      <c r="J53" t="s">
        <v>30</v>
      </c>
      <c r="K53" t="s">
        <v>24</v>
      </c>
      <c r="L53">
        <v>35</v>
      </c>
      <c r="M53" t="str">
        <f t="shared" si="0"/>
        <v>Middle Age</v>
      </c>
      <c r="N53" t="s">
        <v>18</v>
      </c>
      <c r="O53">
        <f>COUNTBLANK(tblbuyers[Income])</f>
        <v>0</v>
      </c>
      <c r="P53" t="str">
        <f>IF(tblbuyers[[#This Row],[Age]]&lt;30,"&lt;30",IF(tblbuyers[[#This Row],[Age]]&lt;=45,"30-45",IF(tblbuyers[[#This Row],[Age]]&lt;=60,"46-60","60+")))</f>
        <v>30-45</v>
      </c>
      <c r="Q53" t="str">
        <f>IF(tblbuyers[[#This Row],[Income]]&lt;30000,"Low",IF(tblbuyers[[#This Row],[Income]]&lt;=70000,"Medium","High"))</f>
        <v>High</v>
      </c>
      <c r="R53" s="7" t="str">
        <f>IF(OR(LOWER(TRIM(tblbuyers[[#This Row],[Purchased Bike]]))="yes",LOWER(TRIM(tblbuyers[[#This Row],[Purchased Bike]]))="y"),"Yes","No")</f>
        <v>No</v>
      </c>
    </row>
    <row r="54" spans="1:18" x14ac:dyDescent="0.25">
      <c r="A54">
        <v>12558</v>
      </c>
      <c r="B54" t="s">
        <v>36</v>
      </c>
      <c r="C54" t="s">
        <v>38</v>
      </c>
      <c r="D54" s="3">
        <v>20000</v>
      </c>
      <c r="E54">
        <v>1</v>
      </c>
      <c r="F54" t="s">
        <v>13</v>
      </c>
      <c r="G54" t="s">
        <v>20</v>
      </c>
      <c r="H54" t="s">
        <v>15</v>
      </c>
      <c r="I54">
        <v>0</v>
      </c>
      <c r="J54" t="s">
        <v>16</v>
      </c>
      <c r="K54" t="s">
        <v>17</v>
      </c>
      <c r="L54">
        <v>65</v>
      </c>
      <c r="M54" t="str">
        <f t="shared" si="0"/>
        <v>Old</v>
      </c>
      <c r="N54" t="s">
        <v>18</v>
      </c>
      <c r="O54">
        <f>COUNTBLANK(tblbuyers[Income])</f>
        <v>0</v>
      </c>
      <c r="P54" t="str">
        <f>IF(tblbuyers[[#This Row],[Age]]&lt;30,"&lt;30",IF(tblbuyers[[#This Row],[Age]]&lt;=45,"30-45",IF(tblbuyers[[#This Row],[Age]]&lt;=60,"46-60","60+")))</f>
        <v>60+</v>
      </c>
      <c r="Q54" t="str">
        <f>IF(tblbuyers[[#This Row],[Income]]&lt;30000,"Low",IF(tblbuyers[[#This Row],[Income]]&lt;=70000,"Medium","High"))</f>
        <v>Low</v>
      </c>
      <c r="R54" s="7" t="str">
        <f>IF(OR(LOWER(TRIM(tblbuyers[[#This Row],[Purchased Bike]]))="yes",LOWER(TRIM(tblbuyers[[#This Row],[Purchased Bike]]))="y"),"Yes","No")</f>
        <v>No</v>
      </c>
    </row>
    <row r="55" spans="1:18" x14ac:dyDescent="0.25">
      <c r="A55">
        <v>24871</v>
      </c>
      <c r="B55" t="s">
        <v>37</v>
      </c>
      <c r="C55" t="s">
        <v>38</v>
      </c>
      <c r="D55" s="3">
        <v>90000</v>
      </c>
      <c r="E55">
        <v>4</v>
      </c>
      <c r="F55" t="s">
        <v>27</v>
      </c>
      <c r="G55" t="s">
        <v>28</v>
      </c>
      <c r="H55" t="s">
        <v>18</v>
      </c>
      <c r="I55">
        <v>3</v>
      </c>
      <c r="J55" t="s">
        <v>23</v>
      </c>
      <c r="K55" t="s">
        <v>17</v>
      </c>
      <c r="L55">
        <v>56</v>
      </c>
      <c r="M55" t="str">
        <f t="shared" si="0"/>
        <v>Old</v>
      </c>
      <c r="N55" t="s">
        <v>18</v>
      </c>
      <c r="O55">
        <f>COUNTBLANK(tblbuyers[Income])</f>
        <v>0</v>
      </c>
      <c r="P55" t="str">
        <f>IF(tblbuyers[[#This Row],[Age]]&lt;30,"&lt;30",IF(tblbuyers[[#This Row],[Age]]&lt;=45,"30-45",IF(tblbuyers[[#This Row],[Age]]&lt;=60,"46-60","60+")))</f>
        <v>46-60</v>
      </c>
      <c r="Q55" t="str">
        <f>IF(tblbuyers[[#This Row],[Income]]&lt;30000,"Low",IF(tblbuyers[[#This Row],[Income]]&lt;=70000,"Medium","High"))</f>
        <v>High</v>
      </c>
      <c r="R55" s="7" t="str">
        <f>IF(OR(LOWER(TRIM(tblbuyers[[#This Row],[Purchased Bike]]))="yes",LOWER(TRIM(tblbuyers[[#This Row],[Purchased Bike]]))="y"),"Yes","No")</f>
        <v>No</v>
      </c>
    </row>
    <row r="56" spans="1:18" x14ac:dyDescent="0.25">
      <c r="A56">
        <v>17319</v>
      </c>
      <c r="B56" t="s">
        <v>37</v>
      </c>
      <c r="C56" t="s">
        <v>38</v>
      </c>
      <c r="D56" s="3">
        <v>70000</v>
      </c>
      <c r="E56">
        <v>0</v>
      </c>
      <c r="F56" t="s">
        <v>13</v>
      </c>
      <c r="G56" t="s">
        <v>21</v>
      </c>
      <c r="H56" t="s">
        <v>18</v>
      </c>
      <c r="I56">
        <v>1</v>
      </c>
      <c r="J56" t="s">
        <v>23</v>
      </c>
      <c r="K56" t="s">
        <v>24</v>
      </c>
      <c r="L56">
        <v>42</v>
      </c>
      <c r="M56" t="str">
        <f t="shared" si="0"/>
        <v>Middle Age</v>
      </c>
      <c r="N56" t="s">
        <v>18</v>
      </c>
      <c r="O56">
        <f>COUNTBLANK(tblbuyers[Income])</f>
        <v>0</v>
      </c>
      <c r="P56" t="str">
        <f>IF(tblbuyers[[#This Row],[Age]]&lt;30,"&lt;30",IF(tblbuyers[[#This Row],[Age]]&lt;=45,"30-45",IF(tblbuyers[[#This Row],[Age]]&lt;=60,"46-60","60+")))</f>
        <v>30-45</v>
      </c>
      <c r="Q56" t="str">
        <f>IF(tblbuyers[[#This Row],[Income]]&lt;30000,"Low",IF(tblbuyers[[#This Row],[Income]]&lt;=70000,"Medium","High"))</f>
        <v>Medium</v>
      </c>
      <c r="R56" s="7" t="str">
        <f>IF(OR(LOWER(TRIM(tblbuyers[[#This Row],[Purchased Bike]]))="yes",LOWER(TRIM(tblbuyers[[#This Row],[Purchased Bike]]))="y"),"Yes","No")</f>
        <v>No</v>
      </c>
    </row>
    <row r="57" spans="1:18" x14ac:dyDescent="0.25">
      <c r="A57">
        <v>28906</v>
      </c>
      <c r="B57" t="s">
        <v>36</v>
      </c>
      <c r="C57" t="s">
        <v>39</v>
      </c>
      <c r="D57" s="3">
        <v>80000</v>
      </c>
      <c r="E57">
        <v>4</v>
      </c>
      <c r="F57" t="s">
        <v>27</v>
      </c>
      <c r="G57" t="s">
        <v>21</v>
      </c>
      <c r="H57" t="s">
        <v>15</v>
      </c>
      <c r="I57">
        <v>2</v>
      </c>
      <c r="J57" t="s">
        <v>30</v>
      </c>
      <c r="K57" t="s">
        <v>17</v>
      </c>
      <c r="L57">
        <v>54</v>
      </c>
      <c r="M57" t="str">
        <f t="shared" si="0"/>
        <v>Middle Age</v>
      </c>
      <c r="N57" t="s">
        <v>18</v>
      </c>
      <c r="O57">
        <f>COUNTBLANK(tblbuyers[Income])</f>
        <v>0</v>
      </c>
      <c r="P57" t="str">
        <f>IF(tblbuyers[[#This Row],[Age]]&lt;30,"&lt;30",IF(tblbuyers[[#This Row],[Age]]&lt;=45,"30-45",IF(tblbuyers[[#This Row],[Age]]&lt;=60,"46-60","60+")))</f>
        <v>46-60</v>
      </c>
      <c r="Q57" t="str">
        <f>IF(tblbuyers[[#This Row],[Income]]&lt;30000,"Low",IF(tblbuyers[[#This Row],[Income]]&lt;=70000,"Medium","High"))</f>
        <v>High</v>
      </c>
      <c r="R57" s="7" t="str">
        <f>IF(OR(LOWER(TRIM(tblbuyers[[#This Row],[Purchased Bike]]))="yes",LOWER(TRIM(tblbuyers[[#This Row],[Purchased Bike]]))="y"),"Yes","No")</f>
        <v>No</v>
      </c>
    </row>
    <row r="58" spans="1:18" x14ac:dyDescent="0.25">
      <c r="A58">
        <v>12808</v>
      </c>
      <c r="B58" t="s">
        <v>36</v>
      </c>
      <c r="C58" t="s">
        <v>39</v>
      </c>
      <c r="D58" s="3">
        <v>40000</v>
      </c>
      <c r="E58">
        <v>0</v>
      </c>
      <c r="F58" t="s">
        <v>13</v>
      </c>
      <c r="G58" t="s">
        <v>20</v>
      </c>
      <c r="H58" t="s">
        <v>15</v>
      </c>
      <c r="I58">
        <v>0</v>
      </c>
      <c r="J58" t="s">
        <v>16</v>
      </c>
      <c r="K58" t="s">
        <v>17</v>
      </c>
      <c r="L58">
        <v>38</v>
      </c>
      <c r="M58" t="str">
        <f t="shared" si="0"/>
        <v>Middle Age</v>
      </c>
      <c r="N58" t="s">
        <v>15</v>
      </c>
      <c r="O58">
        <f>COUNTBLANK(tblbuyers[Income])</f>
        <v>0</v>
      </c>
      <c r="P58" t="str">
        <f>IF(tblbuyers[[#This Row],[Age]]&lt;30,"&lt;30",IF(tblbuyers[[#This Row],[Age]]&lt;=45,"30-45",IF(tblbuyers[[#This Row],[Age]]&lt;=60,"46-60","60+")))</f>
        <v>30-45</v>
      </c>
      <c r="Q58" t="str">
        <f>IF(tblbuyers[[#This Row],[Income]]&lt;30000,"Low",IF(tblbuyers[[#This Row],[Income]]&lt;=70000,"Medium","High"))</f>
        <v>Medium</v>
      </c>
      <c r="R58" s="7" t="str">
        <f>IF(OR(LOWER(TRIM(tblbuyers[[#This Row],[Purchased Bike]]))="yes",LOWER(TRIM(tblbuyers[[#This Row],[Purchased Bike]]))="y"),"Yes","No")</f>
        <v>Yes</v>
      </c>
    </row>
    <row r="59" spans="1:18" x14ac:dyDescent="0.25">
      <c r="A59">
        <v>20567</v>
      </c>
      <c r="B59" t="s">
        <v>36</v>
      </c>
      <c r="C59" t="s">
        <v>39</v>
      </c>
      <c r="D59" s="3">
        <v>130000</v>
      </c>
      <c r="E59">
        <v>4</v>
      </c>
      <c r="F59" t="s">
        <v>19</v>
      </c>
      <c r="G59" t="s">
        <v>21</v>
      </c>
      <c r="H59" t="s">
        <v>18</v>
      </c>
      <c r="I59">
        <v>4</v>
      </c>
      <c r="J59" t="s">
        <v>23</v>
      </c>
      <c r="K59" t="s">
        <v>17</v>
      </c>
      <c r="L59">
        <v>61</v>
      </c>
      <c r="M59" t="str">
        <f t="shared" si="0"/>
        <v>Old</v>
      </c>
      <c r="N59" t="s">
        <v>15</v>
      </c>
      <c r="O59">
        <f>COUNTBLANK(tblbuyers[Income])</f>
        <v>0</v>
      </c>
      <c r="P59" t="str">
        <f>IF(tblbuyers[[#This Row],[Age]]&lt;30,"&lt;30",IF(tblbuyers[[#This Row],[Age]]&lt;=45,"30-45",IF(tblbuyers[[#This Row],[Age]]&lt;=60,"46-60","60+")))</f>
        <v>60+</v>
      </c>
      <c r="Q59" t="str">
        <f>IF(tblbuyers[[#This Row],[Income]]&lt;30000,"Low",IF(tblbuyers[[#This Row],[Income]]&lt;=70000,"Medium","High"))</f>
        <v>High</v>
      </c>
      <c r="R59" s="7" t="str">
        <f>IF(OR(LOWER(TRIM(tblbuyers[[#This Row],[Purchased Bike]]))="yes",LOWER(TRIM(tblbuyers[[#This Row],[Purchased Bike]]))="y"),"Yes","No")</f>
        <v>Yes</v>
      </c>
    </row>
    <row r="60" spans="1:18" x14ac:dyDescent="0.25">
      <c r="A60">
        <v>25502</v>
      </c>
      <c r="B60" t="s">
        <v>36</v>
      </c>
      <c r="C60" t="s">
        <v>38</v>
      </c>
      <c r="D60" s="3">
        <v>40000</v>
      </c>
      <c r="E60">
        <v>1</v>
      </c>
      <c r="F60" t="s">
        <v>13</v>
      </c>
      <c r="G60" t="s">
        <v>14</v>
      </c>
      <c r="H60" t="s">
        <v>15</v>
      </c>
      <c r="I60">
        <v>0</v>
      </c>
      <c r="J60" t="s">
        <v>16</v>
      </c>
      <c r="K60" t="s">
        <v>17</v>
      </c>
      <c r="L60">
        <v>43</v>
      </c>
      <c r="M60" t="str">
        <f t="shared" si="0"/>
        <v>Middle Age</v>
      </c>
      <c r="N60" t="s">
        <v>15</v>
      </c>
      <c r="O60">
        <f>COUNTBLANK(tblbuyers[Income])</f>
        <v>0</v>
      </c>
      <c r="P60" t="str">
        <f>IF(tblbuyers[[#This Row],[Age]]&lt;30,"&lt;30",IF(tblbuyers[[#This Row],[Age]]&lt;=45,"30-45",IF(tblbuyers[[#This Row],[Age]]&lt;=60,"46-60","60+")))</f>
        <v>30-45</v>
      </c>
      <c r="Q60" t="str">
        <f>IF(tblbuyers[[#This Row],[Income]]&lt;30000,"Low",IF(tblbuyers[[#This Row],[Income]]&lt;=70000,"Medium","High"))</f>
        <v>Medium</v>
      </c>
      <c r="R60" s="7" t="str">
        <f>IF(OR(LOWER(TRIM(tblbuyers[[#This Row],[Purchased Bike]]))="yes",LOWER(TRIM(tblbuyers[[#This Row],[Purchased Bike]]))="y"),"Yes","No")</f>
        <v>Yes</v>
      </c>
    </row>
    <row r="61" spans="1:18" x14ac:dyDescent="0.25">
      <c r="A61">
        <v>15580</v>
      </c>
      <c r="B61" t="s">
        <v>36</v>
      </c>
      <c r="C61" t="s">
        <v>39</v>
      </c>
      <c r="D61" s="3">
        <v>60000</v>
      </c>
      <c r="E61">
        <v>2</v>
      </c>
      <c r="F61" t="s">
        <v>13</v>
      </c>
      <c r="G61" t="s">
        <v>21</v>
      </c>
      <c r="H61" t="s">
        <v>15</v>
      </c>
      <c r="I61">
        <v>1</v>
      </c>
      <c r="J61" t="s">
        <v>22</v>
      </c>
      <c r="K61" t="s">
        <v>24</v>
      </c>
      <c r="L61">
        <v>38</v>
      </c>
      <c r="M61" t="str">
        <f t="shared" si="0"/>
        <v>Middle Age</v>
      </c>
      <c r="N61" t="s">
        <v>15</v>
      </c>
      <c r="O61">
        <f>COUNTBLANK(tblbuyers[Income])</f>
        <v>0</v>
      </c>
      <c r="P61" t="str">
        <f>IF(tblbuyers[[#This Row],[Age]]&lt;30,"&lt;30",IF(tblbuyers[[#This Row],[Age]]&lt;=45,"30-45",IF(tblbuyers[[#This Row],[Age]]&lt;=60,"46-60","60+")))</f>
        <v>30-45</v>
      </c>
      <c r="Q61" t="str">
        <f>IF(tblbuyers[[#This Row],[Income]]&lt;30000,"Low",IF(tblbuyers[[#This Row],[Income]]&lt;=70000,"Medium","High"))</f>
        <v>Medium</v>
      </c>
      <c r="R61" s="7" t="str">
        <f>IF(OR(LOWER(TRIM(tblbuyers[[#This Row],[Purchased Bike]]))="yes",LOWER(TRIM(tblbuyers[[#This Row],[Purchased Bike]]))="y"),"Yes","No")</f>
        <v>Yes</v>
      </c>
    </row>
    <row r="62" spans="1:18" x14ac:dyDescent="0.25">
      <c r="A62">
        <v>24185</v>
      </c>
      <c r="B62" t="s">
        <v>37</v>
      </c>
      <c r="C62" t="s">
        <v>38</v>
      </c>
      <c r="D62" s="3">
        <v>10000</v>
      </c>
      <c r="E62">
        <v>1</v>
      </c>
      <c r="F62" t="s">
        <v>27</v>
      </c>
      <c r="G62" t="s">
        <v>25</v>
      </c>
      <c r="H62" t="s">
        <v>18</v>
      </c>
      <c r="I62">
        <v>1</v>
      </c>
      <c r="J62" t="s">
        <v>26</v>
      </c>
      <c r="K62" t="s">
        <v>17</v>
      </c>
      <c r="L62">
        <v>45</v>
      </c>
      <c r="M62" t="str">
        <f t="shared" si="0"/>
        <v>Middle Age</v>
      </c>
      <c r="N62" t="s">
        <v>18</v>
      </c>
      <c r="O62">
        <f>COUNTBLANK(tblbuyers[Income])</f>
        <v>0</v>
      </c>
      <c r="P62" t="str">
        <f>IF(tblbuyers[[#This Row],[Age]]&lt;30,"&lt;30",IF(tblbuyers[[#This Row],[Age]]&lt;=45,"30-45",IF(tblbuyers[[#This Row],[Age]]&lt;=60,"46-60","60+")))</f>
        <v>30-45</v>
      </c>
      <c r="Q62" t="str">
        <f>IF(tblbuyers[[#This Row],[Income]]&lt;30000,"Low",IF(tblbuyers[[#This Row],[Income]]&lt;=70000,"Medium","High"))</f>
        <v>Low</v>
      </c>
      <c r="R62" s="7" t="str">
        <f>IF(OR(LOWER(TRIM(tblbuyers[[#This Row],[Purchased Bike]]))="yes",LOWER(TRIM(tblbuyers[[#This Row],[Purchased Bike]]))="y"),"Yes","No")</f>
        <v>No</v>
      </c>
    </row>
    <row r="63" spans="1:18" x14ac:dyDescent="0.25">
      <c r="A63">
        <v>19291</v>
      </c>
      <c r="B63" t="s">
        <v>37</v>
      </c>
      <c r="C63" t="s">
        <v>38</v>
      </c>
      <c r="D63" s="3">
        <v>10000</v>
      </c>
      <c r="E63">
        <v>2</v>
      </c>
      <c r="F63" t="s">
        <v>27</v>
      </c>
      <c r="G63" t="s">
        <v>25</v>
      </c>
      <c r="H63" t="s">
        <v>15</v>
      </c>
      <c r="I63">
        <v>0</v>
      </c>
      <c r="J63" t="s">
        <v>16</v>
      </c>
      <c r="K63" t="s">
        <v>17</v>
      </c>
      <c r="L63">
        <v>35</v>
      </c>
      <c r="M63" t="str">
        <f t="shared" si="0"/>
        <v>Middle Age</v>
      </c>
      <c r="N63" t="s">
        <v>18</v>
      </c>
      <c r="O63">
        <f>COUNTBLANK(tblbuyers[Income])</f>
        <v>0</v>
      </c>
      <c r="P63" t="str">
        <f>IF(tblbuyers[[#This Row],[Age]]&lt;30,"&lt;30",IF(tblbuyers[[#This Row],[Age]]&lt;=45,"30-45",IF(tblbuyers[[#This Row],[Age]]&lt;=60,"46-60","60+")))</f>
        <v>30-45</v>
      </c>
      <c r="Q63" t="str">
        <f>IF(tblbuyers[[#This Row],[Income]]&lt;30000,"Low",IF(tblbuyers[[#This Row],[Income]]&lt;=70000,"Medium","High"))</f>
        <v>Low</v>
      </c>
      <c r="R63" s="7" t="str">
        <f>IF(OR(LOWER(TRIM(tblbuyers[[#This Row],[Purchased Bike]]))="yes",LOWER(TRIM(tblbuyers[[#This Row],[Purchased Bike]]))="y"),"Yes","No")</f>
        <v>No</v>
      </c>
    </row>
    <row r="64" spans="1:18" x14ac:dyDescent="0.25">
      <c r="A64">
        <v>16713</v>
      </c>
      <c r="B64" t="s">
        <v>36</v>
      </c>
      <c r="C64" t="s">
        <v>39</v>
      </c>
      <c r="D64" s="3">
        <v>40000</v>
      </c>
      <c r="E64">
        <v>2</v>
      </c>
      <c r="F64" t="s">
        <v>13</v>
      </c>
      <c r="G64" t="s">
        <v>28</v>
      </c>
      <c r="H64" t="s">
        <v>15</v>
      </c>
      <c r="I64">
        <v>1</v>
      </c>
      <c r="J64" t="s">
        <v>16</v>
      </c>
      <c r="K64" t="s">
        <v>24</v>
      </c>
      <c r="L64">
        <v>52</v>
      </c>
      <c r="M64" t="str">
        <f t="shared" si="0"/>
        <v>Middle Age</v>
      </c>
      <c r="N64" t="s">
        <v>15</v>
      </c>
      <c r="O64">
        <f>COUNTBLANK(tblbuyers[Income])</f>
        <v>0</v>
      </c>
      <c r="P64" t="str">
        <f>IF(tblbuyers[[#This Row],[Age]]&lt;30,"&lt;30",IF(tblbuyers[[#This Row],[Age]]&lt;=45,"30-45",IF(tblbuyers[[#This Row],[Age]]&lt;=60,"46-60","60+")))</f>
        <v>46-60</v>
      </c>
      <c r="Q64" t="str">
        <f>IF(tblbuyers[[#This Row],[Income]]&lt;30000,"Low",IF(tblbuyers[[#This Row],[Income]]&lt;=70000,"Medium","High"))</f>
        <v>Medium</v>
      </c>
      <c r="R64" s="7" t="str">
        <f>IF(OR(LOWER(TRIM(tblbuyers[[#This Row],[Purchased Bike]]))="yes",LOWER(TRIM(tblbuyers[[#This Row],[Purchased Bike]]))="y"),"Yes","No")</f>
        <v>Yes</v>
      </c>
    </row>
    <row r="65" spans="1:18" x14ac:dyDescent="0.25">
      <c r="A65">
        <v>16185</v>
      </c>
      <c r="B65" t="s">
        <v>37</v>
      </c>
      <c r="C65" t="s">
        <v>39</v>
      </c>
      <c r="D65" s="3">
        <v>60000</v>
      </c>
      <c r="E65">
        <v>4</v>
      </c>
      <c r="F65" t="s">
        <v>13</v>
      </c>
      <c r="G65" t="s">
        <v>21</v>
      </c>
      <c r="H65" t="s">
        <v>15</v>
      </c>
      <c r="I65">
        <v>3</v>
      </c>
      <c r="J65" t="s">
        <v>30</v>
      </c>
      <c r="K65" t="s">
        <v>24</v>
      </c>
      <c r="L65">
        <v>41</v>
      </c>
      <c r="M65" t="str">
        <f t="shared" si="0"/>
        <v>Middle Age</v>
      </c>
      <c r="N65" t="s">
        <v>18</v>
      </c>
      <c r="O65">
        <f>COUNTBLANK(tblbuyers[Income])</f>
        <v>0</v>
      </c>
      <c r="P65" t="str">
        <f>IF(tblbuyers[[#This Row],[Age]]&lt;30,"&lt;30",IF(tblbuyers[[#This Row],[Age]]&lt;=45,"30-45",IF(tblbuyers[[#This Row],[Age]]&lt;=60,"46-60","60+")))</f>
        <v>30-45</v>
      </c>
      <c r="Q65" t="str">
        <f>IF(tblbuyers[[#This Row],[Income]]&lt;30000,"Low",IF(tblbuyers[[#This Row],[Income]]&lt;=70000,"Medium","High"))</f>
        <v>Medium</v>
      </c>
      <c r="R65" s="7" t="str">
        <f>IF(OR(LOWER(TRIM(tblbuyers[[#This Row],[Purchased Bike]]))="yes",LOWER(TRIM(tblbuyers[[#This Row],[Purchased Bike]]))="y"),"Yes","No")</f>
        <v>No</v>
      </c>
    </row>
    <row r="66" spans="1:18" x14ac:dyDescent="0.25">
      <c r="A66">
        <v>14927</v>
      </c>
      <c r="B66" t="s">
        <v>36</v>
      </c>
      <c r="C66" t="s">
        <v>38</v>
      </c>
      <c r="D66" s="3">
        <v>30000</v>
      </c>
      <c r="E66">
        <v>1</v>
      </c>
      <c r="F66" t="s">
        <v>13</v>
      </c>
      <c r="G66" t="s">
        <v>20</v>
      </c>
      <c r="H66" t="s">
        <v>15</v>
      </c>
      <c r="I66">
        <v>0</v>
      </c>
      <c r="J66" t="s">
        <v>16</v>
      </c>
      <c r="K66" t="s">
        <v>17</v>
      </c>
      <c r="L66">
        <v>37</v>
      </c>
      <c r="M66" t="str">
        <f t="shared" si="0"/>
        <v>Middle Age</v>
      </c>
      <c r="N66" t="s">
        <v>15</v>
      </c>
      <c r="O66">
        <f>COUNTBLANK(tblbuyers[Income])</f>
        <v>0</v>
      </c>
      <c r="P66" t="str">
        <f>IF(tblbuyers[[#This Row],[Age]]&lt;30,"&lt;30",IF(tblbuyers[[#This Row],[Age]]&lt;=45,"30-45",IF(tblbuyers[[#This Row],[Age]]&lt;=60,"46-60","60+")))</f>
        <v>30-45</v>
      </c>
      <c r="Q66" t="str">
        <f>IF(tblbuyers[[#This Row],[Income]]&lt;30000,"Low",IF(tblbuyers[[#This Row],[Income]]&lt;=70000,"Medium","High"))</f>
        <v>Medium</v>
      </c>
      <c r="R66" s="7" t="str">
        <f>IF(OR(LOWER(TRIM(tblbuyers[[#This Row],[Purchased Bike]]))="yes",LOWER(TRIM(tblbuyers[[#This Row],[Purchased Bike]]))="y"),"Yes","No")</f>
        <v>Yes</v>
      </c>
    </row>
    <row r="67" spans="1:18"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"Adolescent","Invalid")))</f>
        <v>Old</v>
      </c>
      <c r="N67" t="s">
        <v>18</v>
      </c>
      <c r="O67">
        <f>COUNTBLANK(tblbuyers[Income])</f>
        <v>0</v>
      </c>
      <c r="P67" t="str">
        <f>IF(tblbuyers[[#This Row],[Age]]&lt;30,"&lt;30",IF(tblbuyers[[#This Row],[Age]]&lt;=45,"30-45",IF(tblbuyers[[#This Row],[Age]]&lt;=60,"46-60","60+")))</f>
        <v>60+</v>
      </c>
      <c r="Q67" t="str">
        <f>IF(tblbuyers[[#This Row],[Income]]&lt;30000,"Low",IF(tblbuyers[[#This Row],[Income]]&lt;=70000,"Medium","High"))</f>
        <v>Medium</v>
      </c>
      <c r="R67" s="7" t="str">
        <f>IF(OR(LOWER(TRIM(tblbuyers[[#This Row],[Purchased Bike]]))="yes",LOWER(TRIM(tblbuyers[[#This Row],[Purchased Bike]]))="y"),"Yes","No")</f>
        <v>No</v>
      </c>
    </row>
    <row r="68" spans="1:18" x14ac:dyDescent="0.25">
      <c r="A68">
        <v>29355</v>
      </c>
      <c r="B68" t="s">
        <v>36</v>
      </c>
      <c r="C68" t="s">
        <v>38</v>
      </c>
      <c r="D68" s="3">
        <v>40000</v>
      </c>
      <c r="E68">
        <v>0</v>
      </c>
      <c r="F68" t="s">
        <v>31</v>
      </c>
      <c r="G68" t="s">
        <v>20</v>
      </c>
      <c r="H68" t="s">
        <v>15</v>
      </c>
      <c r="I68">
        <v>0</v>
      </c>
      <c r="J68" t="s">
        <v>16</v>
      </c>
      <c r="K68" t="s">
        <v>17</v>
      </c>
      <c r="L68">
        <v>37</v>
      </c>
      <c r="M68" t="str">
        <f t="shared" si="1"/>
        <v>Middle Age</v>
      </c>
      <c r="N68" t="s">
        <v>15</v>
      </c>
      <c r="O68">
        <f>COUNTBLANK(tblbuyers[Income])</f>
        <v>0</v>
      </c>
      <c r="P68" t="str">
        <f>IF(tblbuyers[[#This Row],[Age]]&lt;30,"&lt;30",IF(tblbuyers[[#This Row],[Age]]&lt;=45,"30-45",IF(tblbuyers[[#This Row],[Age]]&lt;=60,"46-60","60+")))</f>
        <v>30-45</v>
      </c>
      <c r="Q68" t="str">
        <f>IF(tblbuyers[[#This Row],[Income]]&lt;30000,"Low",IF(tblbuyers[[#This Row],[Income]]&lt;=70000,"Medium","High"))</f>
        <v>Medium</v>
      </c>
      <c r="R68" s="7" t="str">
        <f>IF(OR(LOWER(TRIM(tblbuyers[[#This Row],[Purchased Bike]]))="yes",LOWER(TRIM(tblbuyers[[#This Row],[Purchased Bike]]))="y"),"Yes","No")</f>
        <v>Yes</v>
      </c>
    </row>
    <row r="69" spans="1:18" x14ac:dyDescent="0.25">
      <c r="A69">
        <v>25303</v>
      </c>
      <c r="B69" t="s">
        <v>37</v>
      </c>
      <c r="C69" t="s">
        <v>39</v>
      </c>
      <c r="D69" s="3">
        <v>30000</v>
      </c>
      <c r="E69">
        <v>0</v>
      </c>
      <c r="F69" t="s">
        <v>27</v>
      </c>
      <c r="G69" t="s">
        <v>25</v>
      </c>
      <c r="H69" t="s">
        <v>15</v>
      </c>
      <c r="I69">
        <v>1</v>
      </c>
      <c r="J69" t="s">
        <v>22</v>
      </c>
      <c r="K69" t="s">
        <v>17</v>
      </c>
      <c r="L69">
        <v>33</v>
      </c>
      <c r="M69" t="str">
        <f t="shared" si="1"/>
        <v>Middle Age</v>
      </c>
      <c r="N69" t="s">
        <v>15</v>
      </c>
      <c r="O69">
        <f>COUNTBLANK(tblbuyers[Income])</f>
        <v>0</v>
      </c>
      <c r="P69" t="str">
        <f>IF(tblbuyers[[#This Row],[Age]]&lt;30,"&lt;30",IF(tblbuyers[[#This Row],[Age]]&lt;=45,"30-45",IF(tblbuyers[[#This Row],[Age]]&lt;=60,"46-60","60+")))</f>
        <v>30-45</v>
      </c>
      <c r="Q69" t="str">
        <f>IF(tblbuyers[[#This Row],[Income]]&lt;30000,"Low",IF(tblbuyers[[#This Row],[Income]]&lt;=70000,"Medium","High"))</f>
        <v>Medium</v>
      </c>
      <c r="R69" s="7" t="str">
        <f>IF(OR(LOWER(TRIM(tblbuyers[[#This Row],[Purchased Bike]]))="yes",LOWER(TRIM(tblbuyers[[#This Row],[Purchased Bike]]))="y"),"Yes","No")</f>
        <v>Yes</v>
      </c>
    </row>
    <row r="70" spans="1:18" x14ac:dyDescent="0.25">
      <c r="A70">
        <v>14813</v>
      </c>
      <c r="B70" t="s">
        <v>37</v>
      </c>
      <c r="C70" t="s">
        <v>38</v>
      </c>
      <c r="D70" s="3">
        <v>20000</v>
      </c>
      <c r="E70">
        <v>4</v>
      </c>
      <c r="F70" t="s">
        <v>27</v>
      </c>
      <c r="G70" t="s">
        <v>25</v>
      </c>
      <c r="H70" t="s">
        <v>15</v>
      </c>
      <c r="I70">
        <v>1</v>
      </c>
      <c r="J70" t="s">
        <v>16</v>
      </c>
      <c r="K70" t="s">
        <v>17</v>
      </c>
      <c r="L70">
        <v>43</v>
      </c>
      <c r="M70" t="str">
        <f t="shared" si="1"/>
        <v>Middle Age</v>
      </c>
      <c r="N70" t="s">
        <v>15</v>
      </c>
      <c r="O70">
        <f>COUNTBLANK(tblbuyers[Income])</f>
        <v>0</v>
      </c>
      <c r="P70" t="str">
        <f>IF(tblbuyers[[#This Row],[Age]]&lt;30,"&lt;30",IF(tblbuyers[[#This Row],[Age]]&lt;=45,"30-45",IF(tblbuyers[[#This Row],[Age]]&lt;=60,"46-60","60+")))</f>
        <v>30-45</v>
      </c>
      <c r="Q70" t="str">
        <f>IF(tblbuyers[[#This Row],[Income]]&lt;30000,"Low",IF(tblbuyers[[#This Row],[Income]]&lt;=70000,"Medium","High"))</f>
        <v>Low</v>
      </c>
      <c r="R70" s="7" t="str">
        <f>IF(OR(LOWER(TRIM(tblbuyers[[#This Row],[Purchased Bike]]))="yes",LOWER(TRIM(tblbuyers[[#This Row],[Purchased Bike]]))="y"),"Yes","No")</f>
        <v>Yes</v>
      </c>
    </row>
    <row r="71" spans="1:18" x14ac:dyDescent="0.25">
      <c r="A71">
        <v>16438</v>
      </c>
      <c r="B71" t="s">
        <v>36</v>
      </c>
      <c r="C71" t="s">
        <v>38</v>
      </c>
      <c r="D71" s="3">
        <v>10000</v>
      </c>
      <c r="E71">
        <v>0</v>
      </c>
      <c r="F71" t="s">
        <v>29</v>
      </c>
      <c r="G71" t="s">
        <v>25</v>
      </c>
      <c r="H71" t="s">
        <v>18</v>
      </c>
      <c r="I71">
        <v>2</v>
      </c>
      <c r="J71" t="s">
        <v>16</v>
      </c>
      <c r="K71" t="s">
        <v>17</v>
      </c>
      <c r="L71">
        <v>30</v>
      </c>
      <c r="M71" t="str">
        <f t="shared" si="1"/>
        <v>Adolescent</v>
      </c>
      <c r="N71" t="s">
        <v>18</v>
      </c>
      <c r="O71">
        <f>COUNTBLANK(tblbuyers[Income])</f>
        <v>0</v>
      </c>
      <c r="P71" t="str">
        <f>IF(tblbuyers[[#This Row],[Age]]&lt;30,"&lt;30",IF(tblbuyers[[#This Row],[Age]]&lt;=45,"30-45",IF(tblbuyers[[#This Row],[Age]]&lt;=60,"46-60","60+")))</f>
        <v>30-45</v>
      </c>
      <c r="Q71" t="str">
        <f>IF(tblbuyers[[#This Row],[Income]]&lt;30000,"Low",IF(tblbuyers[[#This Row],[Income]]&lt;=70000,"Medium","High"))</f>
        <v>Low</v>
      </c>
      <c r="R71" s="7" t="str">
        <f>IF(OR(LOWER(TRIM(tblbuyers[[#This Row],[Purchased Bike]]))="yes",LOWER(TRIM(tblbuyers[[#This Row],[Purchased Bike]]))="y"),"Yes","No")</f>
        <v>No</v>
      </c>
    </row>
    <row r="72" spans="1:18" x14ac:dyDescent="0.25">
      <c r="A72">
        <v>14238</v>
      </c>
      <c r="B72" t="s">
        <v>36</v>
      </c>
      <c r="C72" t="s">
        <v>39</v>
      </c>
      <c r="D72" s="3">
        <v>120000</v>
      </c>
      <c r="E72">
        <v>0</v>
      </c>
      <c r="F72" t="s">
        <v>29</v>
      </c>
      <c r="G72" t="s">
        <v>21</v>
      </c>
      <c r="H72" t="s">
        <v>15</v>
      </c>
      <c r="I72">
        <v>4</v>
      </c>
      <c r="J72" t="s">
        <v>30</v>
      </c>
      <c r="K72" t="s">
        <v>24</v>
      </c>
      <c r="L72">
        <v>36</v>
      </c>
      <c r="M72" t="str">
        <f t="shared" si="1"/>
        <v>Middle Age</v>
      </c>
      <c r="N72" t="s">
        <v>15</v>
      </c>
      <c r="O72">
        <f>COUNTBLANK(tblbuyers[Income])</f>
        <v>0</v>
      </c>
      <c r="P72" t="str">
        <f>IF(tblbuyers[[#This Row],[Age]]&lt;30,"&lt;30",IF(tblbuyers[[#This Row],[Age]]&lt;=45,"30-45",IF(tblbuyers[[#This Row],[Age]]&lt;=60,"46-60","60+")))</f>
        <v>30-45</v>
      </c>
      <c r="Q72" t="str">
        <f>IF(tblbuyers[[#This Row],[Income]]&lt;30000,"Low",IF(tblbuyers[[#This Row],[Income]]&lt;=70000,"Medium","High"))</f>
        <v>High</v>
      </c>
      <c r="R72" s="7" t="str">
        <f>IF(OR(LOWER(TRIM(tblbuyers[[#This Row],[Purchased Bike]]))="yes",LOWER(TRIM(tblbuyers[[#This Row],[Purchased Bike]]))="y"),"Yes","No")</f>
        <v>Yes</v>
      </c>
    </row>
    <row r="73" spans="1:18" x14ac:dyDescent="0.25">
      <c r="A73">
        <v>16200</v>
      </c>
      <c r="B73" t="s">
        <v>37</v>
      </c>
      <c r="C73" t="s">
        <v>38</v>
      </c>
      <c r="D73" s="3">
        <v>10000</v>
      </c>
      <c r="E73">
        <v>0</v>
      </c>
      <c r="F73" t="s">
        <v>29</v>
      </c>
      <c r="G73" t="s">
        <v>25</v>
      </c>
      <c r="H73" t="s">
        <v>18</v>
      </c>
      <c r="I73">
        <v>2</v>
      </c>
      <c r="J73" t="s">
        <v>16</v>
      </c>
      <c r="K73" t="s">
        <v>17</v>
      </c>
      <c r="L73">
        <v>35</v>
      </c>
      <c r="M73" t="str">
        <f t="shared" si="1"/>
        <v>Middle Age</v>
      </c>
      <c r="N73" t="s">
        <v>18</v>
      </c>
      <c r="O73">
        <f>COUNTBLANK(tblbuyers[Income])</f>
        <v>0</v>
      </c>
      <c r="P73" t="str">
        <f>IF(tblbuyers[[#This Row],[Age]]&lt;30,"&lt;30",IF(tblbuyers[[#This Row],[Age]]&lt;=45,"30-45",IF(tblbuyers[[#This Row],[Age]]&lt;=60,"46-60","60+")))</f>
        <v>30-45</v>
      </c>
      <c r="Q73" t="str">
        <f>IF(tblbuyers[[#This Row],[Income]]&lt;30000,"Low",IF(tblbuyers[[#This Row],[Income]]&lt;=70000,"Medium","High"))</f>
        <v>Low</v>
      </c>
      <c r="R73" s="7" t="str">
        <f>IF(OR(LOWER(TRIM(tblbuyers[[#This Row],[Purchased Bike]]))="yes",LOWER(TRIM(tblbuyers[[#This Row],[Purchased Bike]]))="y"),"Yes","No")</f>
        <v>No</v>
      </c>
    </row>
    <row r="74" spans="1:18" x14ac:dyDescent="0.25">
      <c r="A74">
        <v>24857</v>
      </c>
      <c r="B74" t="s">
        <v>36</v>
      </c>
      <c r="C74" t="s">
        <v>38</v>
      </c>
      <c r="D74" s="3">
        <v>130000</v>
      </c>
      <c r="E74">
        <v>3</v>
      </c>
      <c r="F74" t="s">
        <v>27</v>
      </c>
      <c r="G74" t="s">
        <v>21</v>
      </c>
      <c r="H74" t="s">
        <v>15</v>
      </c>
      <c r="I74">
        <v>4</v>
      </c>
      <c r="J74" t="s">
        <v>16</v>
      </c>
      <c r="K74" t="s">
        <v>17</v>
      </c>
      <c r="L74">
        <v>52</v>
      </c>
      <c r="M74" t="str">
        <f t="shared" si="1"/>
        <v>Middle Age</v>
      </c>
      <c r="N74" t="s">
        <v>18</v>
      </c>
      <c r="O74">
        <f>COUNTBLANK(tblbuyers[Income])</f>
        <v>0</v>
      </c>
      <c r="P74" t="str">
        <f>IF(tblbuyers[[#This Row],[Age]]&lt;30,"&lt;30",IF(tblbuyers[[#This Row],[Age]]&lt;=45,"30-45",IF(tblbuyers[[#This Row],[Age]]&lt;=60,"46-60","60+")))</f>
        <v>46-60</v>
      </c>
      <c r="Q74" t="str">
        <f>IF(tblbuyers[[#This Row],[Income]]&lt;30000,"Low",IF(tblbuyers[[#This Row],[Income]]&lt;=70000,"Medium","High"))</f>
        <v>High</v>
      </c>
      <c r="R74" s="7" t="str">
        <f>IF(OR(LOWER(TRIM(tblbuyers[[#This Row],[Purchased Bike]]))="yes",LOWER(TRIM(tblbuyers[[#This Row],[Purchased Bike]]))="y"),"Yes","No")</f>
        <v>No</v>
      </c>
    </row>
    <row r="75" spans="1:18" x14ac:dyDescent="0.25">
      <c r="A75">
        <v>26956</v>
      </c>
      <c r="B75" t="s">
        <v>37</v>
      </c>
      <c r="C75" t="s">
        <v>38</v>
      </c>
      <c r="D75" s="3">
        <v>20000</v>
      </c>
      <c r="E75">
        <v>0</v>
      </c>
      <c r="F75" t="s">
        <v>19</v>
      </c>
      <c r="G75" t="s">
        <v>25</v>
      </c>
      <c r="H75" t="s">
        <v>18</v>
      </c>
      <c r="I75">
        <v>1</v>
      </c>
      <c r="J75" t="s">
        <v>22</v>
      </c>
      <c r="K75" t="s">
        <v>17</v>
      </c>
      <c r="L75">
        <v>36</v>
      </c>
      <c r="M75" t="str">
        <f t="shared" si="1"/>
        <v>Middle Age</v>
      </c>
      <c r="N75" t="s">
        <v>15</v>
      </c>
      <c r="O75">
        <f>COUNTBLANK(tblbuyers[Income])</f>
        <v>0</v>
      </c>
      <c r="P75" t="str">
        <f>IF(tblbuyers[[#This Row],[Age]]&lt;30,"&lt;30",IF(tblbuyers[[#This Row],[Age]]&lt;=45,"30-45",IF(tblbuyers[[#This Row],[Age]]&lt;=60,"46-60","60+")))</f>
        <v>30-45</v>
      </c>
      <c r="Q75" t="str">
        <f>IF(tblbuyers[[#This Row],[Income]]&lt;30000,"Low",IF(tblbuyers[[#This Row],[Income]]&lt;=70000,"Medium","High"))</f>
        <v>Low</v>
      </c>
      <c r="R75" s="7" t="str">
        <f>IF(OR(LOWER(TRIM(tblbuyers[[#This Row],[Purchased Bike]]))="yes",LOWER(TRIM(tblbuyers[[#This Row],[Purchased Bike]]))="y"),"Yes","No")</f>
        <v>Yes</v>
      </c>
    </row>
    <row r="76" spans="1:18" x14ac:dyDescent="0.25">
      <c r="A76">
        <v>14517</v>
      </c>
      <c r="B76" t="s">
        <v>36</v>
      </c>
      <c r="C76" t="s">
        <v>38</v>
      </c>
      <c r="D76" s="3">
        <v>20000</v>
      </c>
      <c r="E76">
        <v>3</v>
      </c>
      <c r="F76" t="s">
        <v>27</v>
      </c>
      <c r="G76" t="s">
        <v>14</v>
      </c>
      <c r="H76" t="s">
        <v>18</v>
      </c>
      <c r="I76">
        <v>2</v>
      </c>
      <c r="J76" t="s">
        <v>26</v>
      </c>
      <c r="K76" t="s">
        <v>24</v>
      </c>
      <c r="L76">
        <v>62</v>
      </c>
      <c r="M76" t="str">
        <f t="shared" si="1"/>
        <v>Old</v>
      </c>
      <c r="N76" t="s">
        <v>18</v>
      </c>
      <c r="O76">
        <f>COUNTBLANK(tblbuyers[Income])</f>
        <v>0</v>
      </c>
      <c r="P76" t="str">
        <f>IF(tblbuyers[[#This Row],[Age]]&lt;30,"&lt;30",IF(tblbuyers[[#This Row],[Age]]&lt;=45,"30-45",IF(tblbuyers[[#This Row],[Age]]&lt;=60,"46-60","60+")))</f>
        <v>60+</v>
      </c>
      <c r="Q76" t="str">
        <f>IF(tblbuyers[[#This Row],[Income]]&lt;30000,"Low",IF(tblbuyers[[#This Row],[Income]]&lt;=70000,"Medium","High"))</f>
        <v>Low</v>
      </c>
      <c r="R76" s="7" t="str">
        <f>IF(OR(LOWER(TRIM(tblbuyers[[#This Row],[Purchased Bike]]))="yes",LOWER(TRIM(tblbuyers[[#This Row],[Purchased Bike]]))="y"),"Yes","No")</f>
        <v>No</v>
      </c>
    </row>
    <row r="77" spans="1:18" x14ac:dyDescent="0.25">
      <c r="A77">
        <v>12678</v>
      </c>
      <c r="B77" t="s">
        <v>37</v>
      </c>
      <c r="C77" t="s">
        <v>38</v>
      </c>
      <c r="D77" s="3">
        <v>130000</v>
      </c>
      <c r="E77">
        <v>4</v>
      </c>
      <c r="F77" t="s">
        <v>27</v>
      </c>
      <c r="G77" t="s">
        <v>28</v>
      </c>
      <c r="H77" t="s">
        <v>15</v>
      </c>
      <c r="I77">
        <v>4</v>
      </c>
      <c r="J77" t="s">
        <v>16</v>
      </c>
      <c r="K77" t="s">
        <v>24</v>
      </c>
      <c r="L77">
        <v>31</v>
      </c>
      <c r="M77" t="str">
        <f t="shared" si="1"/>
        <v>Middle Age</v>
      </c>
      <c r="N77" t="s">
        <v>18</v>
      </c>
      <c r="O77">
        <f>COUNTBLANK(tblbuyers[Income])</f>
        <v>0</v>
      </c>
      <c r="P77" t="str">
        <f>IF(tblbuyers[[#This Row],[Age]]&lt;30,"&lt;30",IF(tblbuyers[[#This Row],[Age]]&lt;=45,"30-45",IF(tblbuyers[[#This Row],[Age]]&lt;=60,"46-60","60+")))</f>
        <v>30-45</v>
      </c>
      <c r="Q77" t="str">
        <f>IF(tblbuyers[[#This Row],[Income]]&lt;30000,"Low",IF(tblbuyers[[#This Row],[Income]]&lt;=70000,"Medium","High"))</f>
        <v>High</v>
      </c>
      <c r="R77" s="7" t="str">
        <f>IF(OR(LOWER(TRIM(tblbuyers[[#This Row],[Purchased Bike]]))="yes",LOWER(TRIM(tblbuyers[[#This Row],[Purchased Bike]]))="y"),"Yes","No")</f>
        <v>No</v>
      </c>
    </row>
    <row r="78" spans="1:18" x14ac:dyDescent="0.25">
      <c r="A78">
        <v>16188</v>
      </c>
      <c r="B78" t="s">
        <v>37</v>
      </c>
      <c r="C78" t="s">
        <v>38</v>
      </c>
      <c r="D78" s="3">
        <v>20000</v>
      </c>
      <c r="E78">
        <v>0</v>
      </c>
      <c r="F78" t="s">
        <v>29</v>
      </c>
      <c r="G78" t="s">
        <v>25</v>
      </c>
      <c r="H78" t="s">
        <v>18</v>
      </c>
      <c r="I78">
        <v>2</v>
      </c>
      <c r="J78" t="s">
        <v>26</v>
      </c>
      <c r="K78" t="s">
        <v>17</v>
      </c>
      <c r="L78">
        <v>26</v>
      </c>
      <c r="M78" t="str">
        <f t="shared" si="1"/>
        <v>Adolescent</v>
      </c>
      <c r="N78" t="s">
        <v>18</v>
      </c>
      <c r="O78">
        <f>COUNTBLANK(tblbuyers[Income])</f>
        <v>0</v>
      </c>
      <c r="P78" t="str">
        <f>IF(tblbuyers[[#This Row],[Age]]&lt;30,"&lt;30",IF(tblbuyers[[#This Row],[Age]]&lt;=45,"30-45",IF(tblbuyers[[#This Row],[Age]]&lt;=60,"46-60","60+")))</f>
        <v>&lt;30</v>
      </c>
      <c r="Q78" t="str">
        <f>IF(tblbuyers[[#This Row],[Income]]&lt;30000,"Low",IF(tblbuyers[[#This Row],[Income]]&lt;=70000,"Medium","High"))</f>
        <v>Low</v>
      </c>
      <c r="R78" s="7" t="str">
        <f>IF(OR(LOWER(TRIM(tblbuyers[[#This Row],[Purchased Bike]]))="yes",LOWER(TRIM(tblbuyers[[#This Row],[Purchased Bike]]))="y"),"Yes","No")</f>
        <v>No</v>
      </c>
    </row>
    <row r="79" spans="1:18" x14ac:dyDescent="0.25">
      <c r="A79">
        <v>27969</v>
      </c>
      <c r="B79" t="s">
        <v>36</v>
      </c>
      <c r="C79" t="s">
        <v>39</v>
      </c>
      <c r="D79" s="3">
        <v>80000</v>
      </c>
      <c r="E79">
        <v>0</v>
      </c>
      <c r="F79" t="s">
        <v>13</v>
      </c>
      <c r="G79" t="s">
        <v>21</v>
      </c>
      <c r="H79" t="s">
        <v>15</v>
      </c>
      <c r="I79">
        <v>2</v>
      </c>
      <c r="J79" t="s">
        <v>30</v>
      </c>
      <c r="K79" t="s">
        <v>24</v>
      </c>
      <c r="L79">
        <v>29</v>
      </c>
      <c r="M79" t="str">
        <f t="shared" si="1"/>
        <v>Adolescent</v>
      </c>
      <c r="N79" t="s">
        <v>15</v>
      </c>
      <c r="O79">
        <f>COUNTBLANK(tblbuyers[Income])</f>
        <v>0</v>
      </c>
      <c r="P79" t="str">
        <f>IF(tblbuyers[[#This Row],[Age]]&lt;30,"&lt;30",IF(tblbuyers[[#This Row],[Age]]&lt;=45,"30-45",IF(tblbuyers[[#This Row],[Age]]&lt;=60,"46-60","60+")))</f>
        <v>&lt;30</v>
      </c>
      <c r="Q79" t="str">
        <f>IF(tblbuyers[[#This Row],[Income]]&lt;30000,"Low",IF(tblbuyers[[#This Row],[Income]]&lt;=70000,"Medium","High"))</f>
        <v>High</v>
      </c>
      <c r="R79" s="7" t="str">
        <f>IF(OR(LOWER(TRIM(tblbuyers[[#This Row],[Purchased Bike]]))="yes",LOWER(TRIM(tblbuyers[[#This Row],[Purchased Bike]]))="y"),"Yes","No")</f>
        <v>Yes</v>
      </c>
    </row>
    <row r="80" spans="1:18" x14ac:dyDescent="0.25">
      <c r="A80">
        <v>15752</v>
      </c>
      <c r="B80" t="s">
        <v>36</v>
      </c>
      <c r="C80" t="s">
        <v>39</v>
      </c>
      <c r="D80" s="3">
        <v>80000</v>
      </c>
      <c r="E80">
        <v>2</v>
      </c>
      <c r="F80" t="s">
        <v>27</v>
      </c>
      <c r="G80" t="s">
        <v>14</v>
      </c>
      <c r="H80" t="s">
        <v>18</v>
      </c>
      <c r="I80">
        <v>2</v>
      </c>
      <c r="J80" t="s">
        <v>26</v>
      </c>
      <c r="K80" t="s">
        <v>24</v>
      </c>
      <c r="L80">
        <v>50</v>
      </c>
      <c r="M80" t="str">
        <f t="shared" si="1"/>
        <v>Middle Age</v>
      </c>
      <c r="N80" t="s">
        <v>15</v>
      </c>
      <c r="O80">
        <f>COUNTBLANK(tblbuyers[Income])</f>
        <v>0</v>
      </c>
      <c r="P80" t="str">
        <f>IF(tblbuyers[[#This Row],[Age]]&lt;30,"&lt;30",IF(tblbuyers[[#This Row],[Age]]&lt;=45,"30-45",IF(tblbuyers[[#This Row],[Age]]&lt;=60,"46-60","60+")))</f>
        <v>46-60</v>
      </c>
      <c r="Q80" t="str">
        <f>IF(tblbuyers[[#This Row],[Income]]&lt;30000,"Low",IF(tblbuyers[[#This Row],[Income]]&lt;=70000,"Medium","High"))</f>
        <v>High</v>
      </c>
      <c r="R80" s="7" t="str">
        <f>IF(OR(LOWER(TRIM(tblbuyers[[#This Row],[Purchased Bike]]))="yes",LOWER(TRIM(tblbuyers[[#This Row],[Purchased Bike]]))="y"),"Yes","No")</f>
        <v>Yes</v>
      </c>
    </row>
    <row r="81" spans="1:18" x14ac:dyDescent="0.25">
      <c r="A81">
        <v>27745</v>
      </c>
      <c r="B81" t="s">
        <v>37</v>
      </c>
      <c r="C81" t="s">
        <v>39</v>
      </c>
      <c r="D81" s="3">
        <v>40000</v>
      </c>
      <c r="E81">
        <v>2</v>
      </c>
      <c r="F81" t="s">
        <v>13</v>
      </c>
      <c r="G81" t="s">
        <v>28</v>
      </c>
      <c r="H81" t="s">
        <v>15</v>
      </c>
      <c r="I81">
        <v>2</v>
      </c>
      <c r="J81" t="s">
        <v>23</v>
      </c>
      <c r="K81" t="s">
        <v>24</v>
      </c>
      <c r="L81">
        <v>63</v>
      </c>
      <c r="M81" t="str">
        <f t="shared" si="1"/>
        <v>Old</v>
      </c>
      <c r="N81" t="s">
        <v>15</v>
      </c>
      <c r="O81">
        <f>COUNTBLANK(tblbuyers[Income])</f>
        <v>0</v>
      </c>
      <c r="P81" t="str">
        <f>IF(tblbuyers[[#This Row],[Age]]&lt;30,"&lt;30",IF(tblbuyers[[#This Row],[Age]]&lt;=45,"30-45",IF(tblbuyers[[#This Row],[Age]]&lt;=60,"46-60","60+")))</f>
        <v>60+</v>
      </c>
      <c r="Q81" t="str">
        <f>IF(tblbuyers[[#This Row],[Income]]&lt;30000,"Low",IF(tblbuyers[[#This Row],[Income]]&lt;=70000,"Medium","High"))</f>
        <v>Medium</v>
      </c>
      <c r="R81" s="7" t="str">
        <f>IF(OR(LOWER(TRIM(tblbuyers[[#This Row],[Purchased Bike]]))="yes",LOWER(TRIM(tblbuyers[[#This Row],[Purchased Bike]]))="y"),"Yes","No")</f>
        <v>Yes</v>
      </c>
    </row>
    <row r="82" spans="1:18" x14ac:dyDescent="0.25">
      <c r="A82">
        <v>20828</v>
      </c>
      <c r="B82" t="s">
        <v>36</v>
      </c>
      <c r="C82" t="s">
        <v>38</v>
      </c>
      <c r="D82" s="3">
        <v>30000</v>
      </c>
      <c r="E82">
        <v>4</v>
      </c>
      <c r="F82" t="s">
        <v>31</v>
      </c>
      <c r="G82" t="s">
        <v>20</v>
      </c>
      <c r="H82" t="s">
        <v>15</v>
      </c>
      <c r="I82">
        <v>0</v>
      </c>
      <c r="J82" t="s">
        <v>16</v>
      </c>
      <c r="K82" t="s">
        <v>17</v>
      </c>
      <c r="L82">
        <v>45</v>
      </c>
      <c r="M82" t="str">
        <f t="shared" si="1"/>
        <v>Middle Age</v>
      </c>
      <c r="N82" t="s">
        <v>15</v>
      </c>
      <c r="O82">
        <f>COUNTBLANK(tblbuyers[Income])</f>
        <v>0</v>
      </c>
      <c r="P82" t="str">
        <f>IF(tblbuyers[[#This Row],[Age]]&lt;30,"&lt;30",IF(tblbuyers[[#This Row],[Age]]&lt;=45,"30-45",IF(tblbuyers[[#This Row],[Age]]&lt;=60,"46-60","60+")))</f>
        <v>30-45</v>
      </c>
      <c r="Q82" t="str">
        <f>IF(tblbuyers[[#This Row],[Income]]&lt;30000,"Low",IF(tblbuyers[[#This Row],[Income]]&lt;=70000,"Medium","High"))</f>
        <v>Medium</v>
      </c>
      <c r="R82" s="7" t="str">
        <f>IF(OR(LOWER(TRIM(tblbuyers[[#This Row],[Purchased Bike]]))="yes",LOWER(TRIM(tblbuyers[[#This Row],[Purchased Bike]]))="y"),"Yes","No")</f>
        <v>Yes</v>
      </c>
    </row>
    <row r="83" spans="1:18" x14ac:dyDescent="0.25">
      <c r="A83">
        <v>19461</v>
      </c>
      <c r="B83" t="s">
        <v>37</v>
      </c>
      <c r="C83" t="s">
        <v>38</v>
      </c>
      <c r="D83" s="3">
        <v>10000</v>
      </c>
      <c r="E83">
        <v>4</v>
      </c>
      <c r="F83" t="s">
        <v>29</v>
      </c>
      <c r="G83" t="s">
        <v>25</v>
      </c>
      <c r="H83" t="s">
        <v>15</v>
      </c>
      <c r="I83">
        <v>2</v>
      </c>
      <c r="J83" t="s">
        <v>16</v>
      </c>
      <c r="K83" t="s">
        <v>17</v>
      </c>
      <c r="L83">
        <v>40</v>
      </c>
      <c r="M83" t="str">
        <f t="shared" si="1"/>
        <v>Middle Age</v>
      </c>
      <c r="N83" t="s">
        <v>18</v>
      </c>
      <c r="O83">
        <f>COUNTBLANK(tblbuyers[Income])</f>
        <v>0</v>
      </c>
      <c r="P83" t="str">
        <f>IF(tblbuyers[[#This Row],[Age]]&lt;30,"&lt;30",IF(tblbuyers[[#This Row],[Age]]&lt;=45,"30-45",IF(tblbuyers[[#This Row],[Age]]&lt;=60,"46-60","60+")))</f>
        <v>30-45</v>
      </c>
      <c r="Q83" t="str">
        <f>IF(tblbuyers[[#This Row],[Income]]&lt;30000,"Low",IF(tblbuyers[[#This Row],[Income]]&lt;=70000,"Medium","High"))</f>
        <v>Low</v>
      </c>
      <c r="R83" s="7" t="str">
        <f>IF(OR(LOWER(TRIM(tblbuyers[[#This Row],[Purchased Bike]]))="yes",LOWER(TRIM(tblbuyers[[#This Row],[Purchased Bike]]))="y"),"Yes","No")</f>
        <v>No</v>
      </c>
    </row>
    <row r="84" spans="1:18" x14ac:dyDescent="0.25">
      <c r="A84">
        <v>26941</v>
      </c>
      <c r="B84" t="s">
        <v>36</v>
      </c>
      <c r="C84" t="s">
        <v>39</v>
      </c>
      <c r="D84" s="3">
        <v>30000</v>
      </c>
      <c r="E84">
        <v>0</v>
      </c>
      <c r="F84" t="s">
        <v>13</v>
      </c>
      <c r="G84" t="s">
        <v>20</v>
      </c>
      <c r="H84" t="s">
        <v>15</v>
      </c>
      <c r="I84">
        <v>0</v>
      </c>
      <c r="J84" t="s">
        <v>16</v>
      </c>
      <c r="K84" t="s">
        <v>17</v>
      </c>
      <c r="L84">
        <v>47</v>
      </c>
      <c r="M84" t="str">
        <f t="shared" si="1"/>
        <v>Middle Age</v>
      </c>
      <c r="N84" t="s">
        <v>15</v>
      </c>
      <c r="O84">
        <f>COUNTBLANK(tblbuyers[Income])</f>
        <v>0</v>
      </c>
      <c r="P84" t="str">
        <f>IF(tblbuyers[[#This Row],[Age]]&lt;30,"&lt;30",IF(tblbuyers[[#This Row],[Age]]&lt;=45,"30-45",IF(tblbuyers[[#This Row],[Age]]&lt;=60,"46-60","60+")))</f>
        <v>46-60</v>
      </c>
      <c r="Q84" t="str">
        <f>IF(tblbuyers[[#This Row],[Income]]&lt;30000,"Low",IF(tblbuyers[[#This Row],[Income]]&lt;=70000,"Medium","High"))</f>
        <v>Medium</v>
      </c>
      <c r="R84" s="7" t="str">
        <f>IF(OR(LOWER(TRIM(tblbuyers[[#This Row],[Purchased Bike]]))="yes",LOWER(TRIM(tblbuyers[[#This Row],[Purchased Bike]]))="y"),"Yes","No")</f>
        <v>Yes</v>
      </c>
    </row>
    <row r="85" spans="1:18" x14ac:dyDescent="0.25">
      <c r="A85">
        <v>28412</v>
      </c>
      <c r="B85" t="s">
        <v>37</v>
      </c>
      <c r="C85" t="s">
        <v>39</v>
      </c>
      <c r="D85" s="3">
        <v>20000</v>
      </c>
      <c r="E85">
        <v>0</v>
      </c>
      <c r="F85" t="s">
        <v>27</v>
      </c>
      <c r="G85" t="s">
        <v>25</v>
      </c>
      <c r="H85" t="s">
        <v>18</v>
      </c>
      <c r="I85">
        <v>1</v>
      </c>
      <c r="J85" t="s">
        <v>22</v>
      </c>
      <c r="K85" t="s">
        <v>17</v>
      </c>
      <c r="L85">
        <v>29</v>
      </c>
      <c r="M85" t="str">
        <f t="shared" si="1"/>
        <v>Adolescent</v>
      </c>
      <c r="N85" t="s">
        <v>18</v>
      </c>
      <c r="O85">
        <f>COUNTBLANK(tblbuyers[Income])</f>
        <v>0</v>
      </c>
      <c r="P85" t="str">
        <f>IF(tblbuyers[[#This Row],[Age]]&lt;30,"&lt;30",IF(tblbuyers[[#This Row],[Age]]&lt;=45,"30-45",IF(tblbuyers[[#This Row],[Age]]&lt;=60,"46-60","60+")))</f>
        <v>&lt;30</v>
      </c>
      <c r="Q85" t="str">
        <f>IF(tblbuyers[[#This Row],[Income]]&lt;30000,"Low",IF(tblbuyers[[#This Row],[Income]]&lt;=70000,"Medium","High"))</f>
        <v>Low</v>
      </c>
      <c r="R85" s="7" t="str">
        <f>IF(OR(LOWER(TRIM(tblbuyers[[#This Row],[Purchased Bike]]))="yes",LOWER(TRIM(tblbuyers[[#This Row],[Purchased Bike]]))="y"),"Yes","No")</f>
        <v>No</v>
      </c>
    </row>
    <row r="86" spans="1:18" x14ac:dyDescent="0.25">
      <c r="A86">
        <v>24485</v>
      </c>
      <c r="B86" t="s">
        <v>37</v>
      </c>
      <c r="C86" t="s">
        <v>39</v>
      </c>
      <c r="D86" s="3">
        <v>40000</v>
      </c>
      <c r="E86">
        <v>2</v>
      </c>
      <c r="F86" t="s">
        <v>13</v>
      </c>
      <c r="G86" t="s">
        <v>28</v>
      </c>
      <c r="H86" t="s">
        <v>18</v>
      </c>
      <c r="I86">
        <v>1</v>
      </c>
      <c r="J86" t="s">
        <v>23</v>
      </c>
      <c r="K86" t="s">
        <v>24</v>
      </c>
      <c r="L86">
        <v>52</v>
      </c>
      <c r="M86" t="str">
        <f t="shared" si="1"/>
        <v>Middle Age</v>
      </c>
      <c r="N86" t="s">
        <v>15</v>
      </c>
      <c r="O86">
        <f>COUNTBLANK(tblbuyers[Income])</f>
        <v>0</v>
      </c>
      <c r="P86" t="str">
        <f>IF(tblbuyers[[#This Row],[Age]]&lt;30,"&lt;30",IF(tblbuyers[[#This Row],[Age]]&lt;=45,"30-45",IF(tblbuyers[[#This Row],[Age]]&lt;=60,"46-60","60+")))</f>
        <v>46-60</v>
      </c>
      <c r="Q86" t="str">
        <f>IF(tblbuyers[[#This Row],[Income]]&lt;30000,"Low",IF(tblbuyers[[#This Row],[Income]]&lt;=70000,"Medium","High"))</f>
        <v>Medium</v>
      </c>
      <c r="R86" s="7" t="str">
        <f>IF(OR(LOWER(TRIM(tblbuyers[[#This Row],[Purchased Bike]]))="yes",LOWER(TRIM(tblbuyers[[#This Row],[Purchased Bike]]))="y"),"Yes","No")</f>
        <v>Yes</v>
      </c>
    </row>
    <row r="87" spans="1:18" x14ac:dyDescent="0.25">
      <c r="A87">
        <v>16514</v>
      </c>
      <c r="B87" t="s">
        <v>37</v>
      </c>
      <c r="C87" t="s">
        <v>39</v>
      </c>
      <c r="D87" s="3">
        <v>10000</v>
      </c>
      <c r="E87">
        <v>0</v>
      </c>
      <c r="F87" t="s">
        <v>19</v>
      </c>
      <c r="G87" t="s">
        <v>25</v>
      </c>
      <c r="H87" t="s">
        <v>15</v>
      </c>
      <c r="I87">
        <v>1</v>
      </c>
      <c r="J87" t="s">
        <v>26</v>
      </c>
      <c r="K87" t="s">
        <v>24</v>
      </c>
      <c r="L87">
        <v>26</v>
      </c>
      <c r="M87" t="str">
        <f t="shared" si="1"/>
        <v>Adolescent</v>
      </c>
      <c r="N87" t="s">
        <v>15</v>
      </c>
      <c r="O87">
        <f>COUNTBLANK(tblbuyers[Income])</f>
        <v>0</v>
      </c>
      <c r="P87" t="str">
        <f>IF(tblbuyers[[#This Row],[Age]]&lt;30,"&lt;30",IF(tblbuyers[[#This Row],[Age]]&lt;=45,"30-45",IF(tblbuyers[[#This Row],[Age]]&lt;=60,"46-60","60+")))</f>
        <v>&lt;30</v>
      </c>
      <c r="Q87" t="str">
        <f>IF(tblbuyers[[#This Row],[Income]]&lt;30000,"Low",IF(tblbuyers[[#This Row],[Income]]&lt;=70000,"Medium","High"))</f>
        <v>Low</v>
      </c>
      <c r="R87" s="7" t="str">
        <f>IF(OR(LOWER(TRIM(tblbuyers[[#This Row],[Purchased Bike]]))="yes",LOWER(TRIM(tblbuyers[[#This Row],[Purchased Bike]]))="y"),"Yes","No")</f>
        <v>Yes</v>
      </c>
    </row>
    <row r="88" spans="1:18" x14ac:dyDescent="0.25">
      <c r="A88">
        <v>17191</v>
      </c>
      <c r="B88" t="s">
        <v>37</v>
      </c>
      <c r="C88" t="s">
        <v>39</v>
      </c>
      <c r="D88" s="3">
        <v>130000</v>
      </c>
      <c r="E88">
        <v>3</v>
      </c>
      <c r="F88" t="s">
        <v>19</v>
      </c>
      <c r="G88" t="s">
        <v>21</v>
      </c>
      <c r="H88" t="s">
        <v>18</v>
      </c>
      <c r="I88">
        <v>3</v>
      </c>
      <c r="J88" t="s">
        <v>16</v>
      </c>
      <c r="K88" t="s">
        <v>17</v>
      </c>
      <c r="L88">
        <v>51</v>
      </c>
      <c r="M88" t="str">
        <f t="shared" si="1"/>
        <v>Middle Age</v>
      </c>
      <c r="N88" t="s">
        <v>15</v>
      </c>
      <c r="O88">
        <f>COUNTBLANK(tblbuyers[Income])</f>
        <v>0</v>
      </c>
      <c r="P88" t="str">
        <f>IF(tblbuyers[[#This Row],[Age]]&lt;30,"&lt;30",IF(tblbuyers[[#This Row],[Age]]&lt;=45,"30-45",IF(tblbuyers[[#This Row],[Age]]&lt;=60,"46-60","60+")))</f>
        <v>46-60</v>
      </c>
      <c r="Q88" t="str">
        <f>IF(tblbuyers[[#This Row],[Income]]&lt;30000,"Low",IF(tblbuyers[[#This Row],[Income]]&lt;=70000,"Medium","High"))</f>
        <v>High</v>
      </c>
      <c r="R88" s="7" t="str">
        <f>IF(OR(LOWER(TRIM(tblbuyers[[#This Row],[Purchased Bike]]))="yes",LOWER(TRIM(tblbuyers[[#This Row],[Purchased Bike]]))="y"),"Yes","No")</f>
        <v>Yes</v>
      </c>
    </row>
    <row r="89" spans="1:18" x14ac:dyDescent="0.25">
      <c r="A89">
        <v>19608</v>
      </c>
      <c r="B89" t="s">
        <v>36</v>
      </c>
      <c r="C89" t="s">
        <v>39</v>
      </c>
      <c r="D89" s="3">
        <v>80000</v>
      </c>
      <c r="E89">
        <v>5</v>
      </c>
      <c r="F89" t="s">
        <v>13</v>
      </c>
      <c r="G89" t="s">
        <v>21</v>
      </c>
      <c r="H89" t="s">
        <v>15</v>
      </c>
      <c r="I89">
        <v>4</v>
      </c>
      <c r="J89" t="s">
        <v>26</v>
      </c>
      <c r="K89" t="s">
        <v>24</v>
      </c>
      <c r="L89">
        <v>40</v>
      </c>
      <c r="M89" t="str">
        <f t="shared" si="1"/>
        <v>Middle Age</v>
      </c>
      <c r="N89" t="s">
        <v>18</v>
      </c>
      <c r="O89">
        <f>COUNTBLANK(tblbuyers[Income])</f>
        <v>0</v>
      </c>
      <c r="P89" t="str">
        <f>IF(tblbuyers[[#This Row],[Age]]&lt;30,"&lt;30",IF(tblbuyers[[#This Row],[Age]]&lt;=45,"30-45",IF(tblbuyers[[#This Row],[Age]]&lt;=60,"46-60","60+")))</f>
        <v>30-45</v>
      </c>
      <c r="Q89" t="str">
        <f>IF(tblbuyers[[#This Row],[Income]]&lt;30000,"Low",IF(tblbuyers[[#This Row],[Income]]&lt;=70000,"Medium","High"))</f>
        <v>High</v>
      </c>
      <c r="R89" s="7" t="str">
        <f>IF(OR(LOWER(TRIM(tblbuyers[[#This Row],[Purchased Bike]]))="yes",LOWER(TRIM(tblbuyers[[#This Row],[Purchased Bike]]))="y"),"Yes","No")</f>
        <v>No</v>
      </c>
    </row>
    <row r="90" spans="1:18" x14ac:dyDescent="0.25">
      <c r="A90">
        <v>24119</v>
      </c>
      <c r="B90" t="s">
        <v>37</v>
      </c>
      <c r="C90" t="s">
        <v>39</v>
      </c>
      <c r="D90" s="3">
        <v>30000</v>
      </c>
      <c r="E90">
        <v>0</v>
      </c>
      <c r="F90" t="s">
        <v>19</v>
      </c>
      <c r="G90" t="s">
        <v>20</v>
      </c>
      <c r="H90" t="s">
        <v>18</v>
      </c>
      <c r="I90">
        <v>1</v>
      </c>
      <c r="J90" t="s">
        <v>22</v>
      </c>
      <c r="K90" t="s">
        <v>17</v>
      </c>
      <c r="L90">
        <v>29</v>
      </c>
      <c r="M90" t="str">
        <f t="shared" si="1"/>
        <v>Adolescent</v>
      </c>
      <c r="N90" t="s">
        <v>18</v>
      </c>
      <c r="O90">
        <f>COUNTBLANK(tblbuyers[Income])</f>
        <v>0</v>
      </c>
      <c r="P90" t="str">
        <f>IF(tblbuyers[[#This Row],[Age]]&lt;30,"&lt;30",IF(tblbuyers[[#This Row],[Age]]&lt;=45,"30-45",IF(tblbuyers[[#This Row],[Age]]&lt;=60,"46-60","60+")))</f>
        <v>&lt;30</v>
      </c>
      <c r="Q90" t="str">
        <f>IF(tblbuyers[[#This Row],[Income]]&lt;30000,"Low",IF(tblbuyers[[#This Row],[Income]]&lt;=70000,"Medium","High"))</f>
        <v>Medium</v>
      </c>
      <c r="R90" s="7" t="str">
        <f>IF(OR(LOWER(TRIM(tblbuyers[[#This Row],[Purchased Bike]]))="yes",LOWER(TRIM(tblbuyers[[#This Row],[Purchased Bike]]))="y"),"Yes","No")</f>
        <v>No</v>
      </c>
    </row>
    <row r="91" spans="1:18" x14ac:dyDescent="0.25">
      <c r="A91">
        <v>25458</v>
      </c>
      <c r="B91" t="s">
        <v>36</v>
      </c>
      <c r="C91" t="s">
        <v>39</v>
      </c>
      <c r="D91" s="3">
        <v>20000</v>
      </c>
      <c r="E91">
        <v>1</v>
      </c>
      <c r="F91" t="s">
        <v>27</v>
      </c>
      <c r="G91" t="s">
        <v>25</v>
      </c>
      <c r="H91" t="s">
        <v>18</v>
      </c>
      <c r="I91">
        <v>1</v>
      </c>
      <c r="J91" t="s">
        <v>26</v>
      </c>
      <c r="K91" t="s">
        <v>17</v>
      </c>
      <c r="L91">
        <v>40</v>
      </c>
      <c r="M91" t="str">
        <f t="shared" si="1"/>
        <v>Middle Age</v>
      </c>
      <c r="N91" t="s">
        <v>15</v>
      </c>
      <c r="O91">
        <f>COUNTBLANK(tblbuyers[Income])</f>
        <v>0</v>
      </c>
      <c r="P91" t="str">
        <f>IF(tblbuyers[[#This Row],[Age]]&lt;30,"&lt;30",IF(tblbuyers[[#This Row],[Age]]&lt;=45,"30-45",IF(tblbuyers[[#This Row],[Age]]&lt;=60,"46-60","60+")))</f>
        <v>30-45</v>
      </c>
      <c r="Q91" t="str">
        <f>IF(tblbuyers[[#This Row],[Income]]&lt;30000,"Low",IF(tblbuyers[[#This Row],[Income]]&lt;=70000,"Medium","High"))</f>
        <v>Low</v>
      </c>
      <c r="R91" s="7" t="str">
        <f>IF(OR(LOWER(TRIM(tblbuyers[[#This Row],[Purchased Bike]]))="yes",LOWER(TRIM(tblbuyers[[#This Row],[Purchased Bike]]))="y"),"Yes","No")</f>
        <v>Yes</v>
      </c>
    </row>
    <row r="92" spans="1:18" x14ac:dyDescent="0.25">
      <c r="A92">
        <v>26886</v>
      </c>
      <c r="B92" t="s">
        <v>37</v>
      </c>
      <c r="C92" t="s">
        <v>38</v>
      </c>
      <c r="D92" s="3">
        <v>30000</v>
      </c>
      <c r="E92">
        <v>0</v>
      </c>
      <c r="F92" t="s">
        <v>19</v>
      </c>
      <c r="G92" t="s">
        <v>20</v>
      </c>
      <c r="H92" t="s">
        <v>18</v>
      </c>
      <c r="I92">
        <v>1</v>
      </c>
      <c r="J92" t="s">
        <v>16</v>
      </c>
      <c r="K92" t="s">
        <v>17</v>
      </c>
      <c r="L92">
        <v>29</v>
      </c>
      <c r="M92" t="str">
        <f t="shared" si="1"/>
        <v>Adolescent</v>
      </c>
      <c r="N92" t="s">
        <v>15</v>
      </c>
      <c r="O92">
        <f>COUNTBLANK(tblbuyers[Income])</f>
        <v>0</v>
      </c>
      <c r="P92" t="str">
        <f>IF(tblbuyers[[#This Row],[Age]]&lt;30,"&lt;30",IF(tblbuyers[[#This Row],[Age]]&lt;=45,"30-45",IF(tblbuyers[[#This Row],[Age]]&lt;=60,"46-60","60+")))</f>
        <v>&lt;30</v>
      </c>
      <c r="Q92" t="str">
        <f>IF(tblbuyers[[#This Row],[Income]]&lt;30000,"Low",IF(tblbuyers[[#This Row],[Income]]&lt;=70000,"Medium","High"))</f>
        <v>Medium</v>
      </c>
      <c r="R92" s="7" t="str">
        <f>IF(OR(LOWER(TRIM(tblbuyers[[#This Row],[Purchased Bike]]))="yes",LOWER(TRIM(tblbuyers[[#This Row],[Purchased Bike]]))="y"),"Yes","No")</f>
        <v>Yes</v>
      </c>
    </row>
    <row r="93" spans="1:18" x14ac:dyDescent="0.25">
      <c r="A93">
        <v>28436</v>
      </c>
      <c r="B93" t="s">
        <v>37</v>
      </c>
      <c r="C93" t="s">
        <v>39</v>
      </c>
      <c r="D93" s="3">
        <v>30000</v>
      </c>
      <c r="E93">
        <v>0</v>
      </c>
      <c r="F93" t="s">
        <v>19</v>
      </c>
      <c r="G93" t="s">
        <v>20</v>
      </c>
      <c r="H93" t="s">
        <v>18</v>
      </c>
      <c r="I93">
        <v>1</v>
      </c>
      <c r="J93" t="s">
        <v>16</v>
      </c>
      <c r="K93" t="s">
        <v>17</v>
      </c>
      <c r="L93">
        <v>30</v>
      </c>
      <c r="M93" t="str">
        <f t="shared" si="1"/>
        <v>Adolescent</v>
      </c>
      <c r="N93" t="s">
        <v>15</v>
      </c>
      <c r="O93">
        <f>COUNTBLANK(tblbuyers[Income])</f>
        <v>0</v>
      </c>
      <c r="P93" t="str">
        <f>IF(tblbuyers[[#This Row],[Age]]&lt;30,"&lt;30",IF(tblbuyers[[#This Row],[Age]]&lt;=45,"30-45",IF(tblbuyers[[#This Row],[Age]]&lt;=60,"46-60","60+")))</f>
        <v>30-45</v>
      </c>
      <c r="Q93" t="str">
        <f>IF(tblbuyers[[#This Row],[Income]]&lt;30000,"Low",IF(tblbuyers[[#This Row],[Income]]&lt;=70000,"Medium","High"))</f>
        <v>Medium</v>
      </c>
      <c r="R93" s="7" t="str">
        <f>IF(OR(LOWER(TRIM(tblbuyers[[#This Row],[Purchased Bike]]))="yes",LOWER(TRIM(tblbuyers[[#This Row],[Purchased Bike]]))="y"),"Yes","No")</f>
        <v>Yes</v>
      </c>
    </row>
    <row r="94" spans="1:18" x14ac:dyDescent="0.25">
      <c r="A94">
        <v>19562</v>
      </c>
      <c r="B94" t="s">
        <v>37</v>
      </c>
      <c r="C94" t="s">
        <v>38</v>
      </c>
      <c r="D94" s="3">
        <v>60000</v>
      </c>
      <c r="E94">
        <v>2</v>
      </c>
      <c r="F94" t="s">
        <v>13</v>
      </c>
      <c r="G94" t="s">
        <v>21</v>
      </c>
      <c r="H94" t="s">
        <v>15</v>
      </c>
      <c r="I94">
        <v>1</v>
      </c>
      <c r="J94" t="s">
        <v>22</v>
      </c>
      <c r="K94" t="s">
        <v>24</v>
      </c>
      <c r="L94">
        <v>37</v>
      </c>
      <c r="M94" t="str">
        <f t="shared" si="1"/>
        <v>Middle Age</v>
      </c>
      <c r="N94" t="s">
        <v>15</v>
      </c>
      <c r="O94">
        <f>COUNTBLANK(tblbuyers[Income])</f>
        <v>0</v>
      </c>
      <c r="P94" t="str">
        <f>IF(tblbuyers[[#This Row],[Age]]&lt;30,"&lt;30",IF(tblbuyers[[#This Row],[Age]]&lt;=45,"30-45",IF(tblbuyers[[#This Row],[Age]]&lt;=60,"46-60","60+")))</f>
        <v>30-45</v>
      </c>
      <c r="Q94" t="str">
        <f>IF(tblbuyers[[#This Row],[Income]]&lt;30000,"Low",IF(tblbuyers[[#This Row],[Income]]&lt;=70000,"Medium","High"))</f>
        <v>Medium</v>
      </c>
      <c r="R94" s="7" t="str">
        <f>IF(OR(LOWER(TRIM(tblbuyers[[#This Row],[Purchased Bike]]))="yes",LOWER(TRIM(tblbuyers[[#This Row],[Purchased Bike]]))="y"),"Yes","No")</f>
        <v>Yes</v>
      </c>
    </row>
    <row r="95" spans="1:18" x14ac:dyDescent="0.25">
      <c r="A95">
        <v>15608</v>
      </c>
      <c r="B95" t="s">
        <v>37</v>
      </c>
      <c r="C95" t="s">
        <v>38</v>
      </c>
      <c r="D95" s="3">
        <v>30000</v>
      </c>
      <c r="E95">
        <v>0</v>
      </c>
      <c r="F95" t="s">
        <v>19</v>
      </c>
      <c r="G95" t="s">
        <v>20</v>
      </c>
      <c r="H95" t="s">
        <v>18</v>
      </c>
      <c r="I95">
        <v>1</v>
      </c>
      <c r="J95" t="s">
        <v>22</v>
      </c>
      <c r="K95" t="s">
        <v>17</v>
      </c>
      <c r="L95">
        <v>33</v>
      </c>
      <c r="M95" t="str">
        <f t="shared" si="1"/>
        <v>Middle Age</v>
      </c>
      <c r="N95" t="s">
        <v>18</v>
      </c>
      <c r="O95">
        <f>COUNTBLANK(tblbuyers[Income])</f>
        <v>0</v>
      </c>
      <c r="P95" t="str">
        <f>IF(tblbuyers[[#This Row],[Age]]&lt;30,"&lt;30",IF(tblbuyers[[#This Row],[Age]]&lt;=45,"30-45",IF(tblbuyers[[#This Row],[Age]]&lt;=60,"46-60","60+")))</f>
        <v>30-45</v>
      </c>
      <c r="Q95" t="str">
        <f>IF(tblbuyers[[#This Row],[Income]]&lt;30000,"Low",IF(tblbuyers[[#This Row],[Income]]&lt;=70000,"Medium","High"))</f>
        <v>Medium</v>
      </c>
      <c r="R95" s="7" t="str">
        <f>IF(OR(LOWER(TRIM(tblbuyers[[#This Row],[Purchased Bike]]))="yes",LOWER(TRIM(tblbuyers[[#This Row],[Purchased Bike]]))="y"),"Yes","No")</f>
        <v>No</v>
      </c>
    </row>
    <row r="96" spans="1:18" x14ac:dyDescent="0.25">
      <c r="A96">
        <v>16487</v>
      </c>
      <c r="B96" t="s">
        <v>37</v>
      </c>
      <c r="C96" t="s">
        <v>38</v>
      </c>
      <c r="D96" s="3">
        <v>30000</v>
      </c>
      <c r="E96">
        <v>3</v>
      </c>
      <c r="F96" t="s">
        <v>27</v>
      </c>
      <c r="G96" t="s">
        <v>14</v>
      </c>
      <c r="H96" t="s">
        <v>15</v>
      </c>
      <c r="I96">
        <v>2</v>
      </c>
      <c r="J96" t="s">
        <v>23</v>
      </c>
      <c r="K96" t="s">
        <v>24</v>
      </c>
      <c r="L96">
        <v>55</v>
      </c>
      <c r="M96" t="str">
        <f t="shared" si="1"/>
        <v>Old</v>
      </c>
      <c r="N96" t="s">
        <v>18</v>
      </c>
      <c r="O96">
        <f>COUNTBLANK(tblbuyers[Income])</f>
        <v>0</v>
      </c>
      <c r="P96" t="str">
        <f>IF(tblbuyers[[#This Row],[Age]]&lt;30,"&lt;30",IF(tblbuyers[[#This Row],[Age]]&lt;=45,"30-45",IF(tblbuyers[[#This Row],[Age]]&lt;=60,"46-60","60+")))</f>
        <v>46-60</v>
      </c>
      <c r="Q96" t="str">
        <f>IF(tblbuyers[[#This Row],[Income]]&lt;30000,"Low",IF(tblbuyers[[#This Row],[Income]]&lt;=70000,"Medium","High"))</f>
        <v>Medium</v>
      </c>
      <c r="R96" s="7" t="str">
        <f>IF(OR(LOWER(TRIM(tblbuyers[[#This Row],[Purchased Bike]]))="yes",LOWER(TRIM(tblbuyers[[#This Row],[Purchased Bike]]))="y"),"Yes","No")</f>
        <v>No</v>
      </c>
    </row>
    <row r="97" spans="1:18" x14ac:dyDescent="0.25">
      <c r="A97">
        <v>17197</v>
      </c>
      <c r="B97" t="s">
        <v>37</v>
      </c>
      <c r="C97" t="s">
        <v>38</v>
      </c>
      <c r="D97" s="3">
        <v>90000</v>
      </c>
      <c r="E97">
        <v>5</v>
      </c>
      <c r="F97" t="s">
        <v>19</v>
      </c>
      <c r="G97" t="s">
        <v>21</v>
      </c>
      <c r="H97" t="s">
        <v>15</v>
      </c>
      <c r="I97">
        <v>2</v>
      </c>
      <c r="J97" t="s">
        <v>30</v>
      </c>
      <c r="K97" t="s">
        <v>17</v>
      </c>
      <c r="L97">
        <v>62</v>
      </c>
      <c r="M97" t="str">
        <f t="shared" si="1"/>
        <v>Old</v>
      </c>
      <c r="N97" t="s">
        <v>18</v>
      </c>
      <c r="O97">
        <f>COUNTBLANK(tblbuyers[Income])</f>
        <v>0</v>
      </c>
      <c r="P97" t="str">
        <f>IF(tblbuyers[[#This Row],[Age]]&lt;30,"&lt;30",IF(tblbuyers[[#This Row],[Age]]&lt;=45,"30-45",IF(tblbuyers[[#This Row],[Age]]&lt;=60,"46-60","60+")))</f>
        <v>60+</v>
      </c>
      <c r="Q97" t="str">
        <f>IF(tblbuyers[[#This Row],[Income]]&lt;30000,"Low",IF(tblbuyers[[#This Row],[Income]]&lt;=70000,"Medium","High"))</f>
        <v>High</v>
      </c>
      <c r="R97" s="7" t="str">
        <f>IF(OR(LOWER(TRIM(tblbuyers[[#This Row],[Purchased Bike]]))="yes",LOWER(TRIM(tblbuyers[[#This Row],[Purchased Bike]]))="y"),"Yes","No")</f>
        <v>No</v>
      </c>
    </row>
    <row r="98" spans="1:18" x14ac:dyDescent="0.25">
      <c r="A98">
        <v>12507</v>
      </c>
      <c r="B98" t="s">
        <v>36</v>
      </c>
      <c r="C98" t="s">
        <v>39</v>
      </c>
      <c r="D98" s="3">
        <v>30000</v>
      </c>
      <c r="E98">
        <v>1</v>
      </c>
      <c r="F98" t="s">
        <v>19</v>
      </c>
      <c r="G98" t="s">
        <v>20</v>
      </c>
      <c r="H98" t="s">
        <v>15</v>
      </c>
      <c r="I98">
        <v>1</v>
      </c>
      <c r="J98" t="s">
        <v>16</v>
      </c>
      <c r="K98" t="s">
        <v>17</v>
      </c>
      <c r="L98">
        <v>43</v>
      </c>
      <c r="M98" t="str">
        <f t="shared" si="1"/>
        <v>Middle Age</v>
      </c>
      <c r="N98" t="s">
        <v>18</v>
      </c>
      <c r="O98">
        <f>COUNTBLANK(tblbuyers[Income])</f>
        <v>0</v>
      </c>
      <c r="P98" t="str">
        <f>IF(tblbuyers[[#This Row],[Age]]&lt;30,"&lt;30",IF(tblbuyers[[#This Row],[Age]]&lt;=45,"30-45",IF(tblbuyers[[#This Row],[Age]]&lt;=60,"46-60","60+")))</f>
        <v>30-45</v>
      </c>
      <c r="Q98" t="str">
        <f>IF(tblbuyers[[#This Row],[Income]]&lt;30000,"Low",IF(tblbuyers[[#This Row],[Income]]&lt;=70000,"Medium","High"))</f>
        <v>Medium</v>
      </c>
      <c r="R98" s="7" t="str">
        <f>IF(OR(LOWER(TRIM(tblbuyers[[#This Row],[Purchased Bike]]))="yes",LOWER(TRIM(tblbuyers[[#This Row],[Purchased Bike]]))="y"),"Yes","No")</f>
        <v>No</v>
      </c>
    </row>
    <row r="99" spans="1:18" x14ac:dyDescent="0.25">
      <c r="A99">
        <v>23940</v>
      </c>
      <c r="B99" t="s">
        <v>36</v>
      </c>
      <c r="C99" t="s">
        <v>39</v>
      </c>
      <c r="D99" s="3">
        <v>40000</v>
      </c>
      <c r="E99">
        <v>1</v>
      </c>
      <c r="F99" t="s">
        <v>13</v>
      </c>
      <c r="G99" t="s">
        <v>14</v>
      </c>
      <c r="H99" t="s">
        <v>15</v>
      </c>
      <c r="I99">
        <v>1</v>
      </c>
      <c r="J99" t="s">
        <v>16</v>
      </c>
      <c r="K99" t="s">
        <v>17</v>
      </c>
      <c r="L99">
        <v>44</v>
      </c>
      <c r="M99" t="str">
        <f t="shared" si="1"/>
        <v>Middle Age</v>
      </c>
      <c r="N99" t="s">
        <v>15</v>
      </c>
      <c r="O99">
        <f>COUNTBLANK(tblbuyers[Income])</f>
        <v>0</v>
      </c>
      <c r="P99" t="str">
        <f>IF(tblbuyers[[#This Row],[Age]]&lt;30,"&lt;30",IF(tblbuyers[[#This Row],[Age]]&lt;=45,"30-45",IF(tblbuyers[[#This Row],[Age]]&lt;=60,"46-60","60+")))</f>
        <v>30-45</v>
      </c>
      <c r="Q99" t="str">
        <f>IF(tblbuyers[[#This Row],[Income]]&lt;30000,"Low",IF(tblbuyers[[#This Row],[Income]]&lt;=70000,"Medium","High"))</f>
        <v>Medium</v>
      </c>
      <c r="R99" s="7" t="str">
        <f>IF(OR(LOWER(TRIM(tblbuyers[[#This Row],[Purchased Bike]]))="yes",LOWER(TRIM(tblbuyers[[#This Row],[Purchased Bike]]))="y"),"Yes","No")</f>
        <v>Yes</v>
      </c>
    </row>
    <row r="100" spans="1:18"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c r="O100">
        <f>COUNTBLANK(tblbuyers[Income])</f>
        <v>0</v>
      </c>
      <c r="P100" t="str">
        <f>IF(tblbuyers[[#This Row],[Age]]&lt;30,"&lt;30",IF(tblbuyers[[#This Row],[Age]]&lt;=45,"30-45",IF(tblbuyers[[#This Row],[Age]]&lt;=60,"46-60","60+")))</f>
        <v>&lt;30</v>
      </c>
      <c r="Q100" t="str">
        <f>IF(tblbuyers[[#This Row],[Income]]&lt;30000,"Low",IF(tblbuyers[[#This Row],[Income]]&lt;=70000,"Medium","High"))</f>
        <v>Medium</v>
      </c>
      <c r="R100" s="7" t="str">
        <f>IF(OR(LOWER(TRIM(tblbuyers[[#This Row],[Purchased Bike]]))="yes",LOWER(TRIM(tblbuyers[[#This Row],[Purchased Bike]]))="y"),"Yes","No")</f>
        <v>Yes</v>
      </c>
    </row>
    <row r="101" spans="1:18"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c r="O101">
        <f>COUNTBLANK(tblbuyers[Income])</f>
        <v>0</v>
      </c>
      <c r="P101" t="str">
        <f>IF(tblbuyers[[#This Row],[Age]]&lt;30,"&lt;30",IF(tblbuyers[[#This Row],[Age]]&lt;=45,"30-45",IF(tblbuyers[[#This Row],[Age]]&lt;=60,"46-60","60+")))</f>
        <v>30-45</v>
      </c>
      <c r="Q101" t="str">
        <f>IF(tblbuyers[[#This Row],[Income]]&lt;30000,"Low",IF(tblbuyers[[#This Row],[Income]]&lt;=70000,"Medium","High"))</f>
        <v>Low</v>
      </c>
      <c r="R101" s="7" t="str">
        <f>IF(OR(LOWER(TRIM(tblbuyers[[#This Row],[Purchased Bike]]))="yes",LOWER(TRIM(tblbuyers[[#This Row],[Purchased Bike]]))="y"),"Yes","No")</f>
        <v>No</v>
      </c>
    </row>
    <row r="102" spans="1:18"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c r="O102">
        <f>COUNTBLANK(tblbuyers[Income])</f>
        <v>0</v>
      </c>
      <c r="P102" t="str">
        <f>IF(tblbuyers[[#This Row],[Age]]&lt;30,"&lt;30",IF(tblbuyers[[#This Row],[Age]]&lt;=45,"30-45",IF(tblbuyers[[#This Row],[Age]]&lt;=60,"46-60","60+")))</f>
        <v>30-45</v>
      </c>
      <c r="Q102" t="str">
        <f>IF(tblbuyers[[#This Row],[Income]]&lt;30000,"Low",IF(tblbuyers[[#This Row],[Income]]&lt;=70000,"Medium","High"))</f>
        <v>Low</v>
      </c>
      <c r="R102" s="7" t="str">
        <f>IF(OR(LOWER(TRIM(tblbuyers[[#This Row],[Purchased Bike]]))="yes",LOWER(TRIM(tblbuyers[[#This Row],[Purchased Bike]]))="y"),"Yes","No")</f>
        <v>No</v>
      </c>
    </row>
    <row r="103" spans="1:18"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c r="O103">
        <f>COUNTBLANK(tblbuyers[Income])</f>
        <v>0</v>
      </c>
      <c r="P103" t="str">
        <f>IF(tblbuyers[[#This Row],[Age]]&lt;30,"&lt;30",IF(tblbuyers[[#This Row],[Age]]&lt;=45,"30-45",IF(tblbuyers[[#This Row],[Age]]&lt;=60,"46-60","60+")))</f>
        <v>30-45</v>
      </c>
      <c r="Q103" t="str">
        <f>IF(tblbuyers[[#This Row],[Income]]&lt;30000,"Low",IF(tblbuyers[[#This Row],[Income]]&lt;=70000,"Medium","High"))</f>
        <v>Medium</v>
      </c>
      <c r="R103" s="7" t="str">
        <f>IF(OR(LOWER(TRIM(tblbuyers[[#This Row],[Purchased Bike]]))="yes",LOWER(TRIM(tblbuyers[[#This Row],[Purchased Bike]]))="y"),"Yes","No")</f>
        <v>Yes</v>
      </c>
    </row>
    <row r="104" spans="1:18"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c r="O104">
        <f>COUNTBLANK(tblbuyers[Income])</f>
        <v>0</v>
      </c>
      <c r="P104" t="str">
        <f>IF(tblbuyers[[#This Row],[Age]]&lt;30,"&lt;30",IF(tblbuyers[[#This Row],[Age]]&lt;=45,"30-45",IF(tblbuyers[[#This Row],[Age]]&lt;=60,"46-60","60+")))</f>
        <v>46-60</v>
      </c>
      <c r="Q104" t="str">
        <f>IF(tblbuyers[[#This Row],[Income]]&lt;30000,"Low",IF(tblbuyers[[#This Row],[Income]]&lt;=70000,"Medium","High"))</f>
        <v>Low</v>
      </c>
      <c r="R104" s="7" t="str">
        <f>IF(OR(LOWER(TRIM(tblbuyers[[#This Row],[Purchased Bike]]))="yes",LOWER(TRIM(tblbuyers[[#This Row],[Purchased Bike]]))="y"),"Yes","No")</f>
        <v>No</v>
      </c>
    </row>
    <row r="105" spans="1:18"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c r="O105">
        <f>COUNTBLANK(tblbuyers[Income])</f>
        <v>0</v>
      </c>
      <c r="P105" t="str">
        <f>IF(tblbuyers[[#This Row],[Age]]&lt;30,"&lt;30",IF(tblbuyers[[#This Row],[Age]]&lt;=45,"30-45",IF(tblbuyers[[#This Row],[Age]]&lt;=60,"46-60","60+")))</f>
        <v>30-45</v>
      </c>
      <c r="Q105" t="str">
        <f>IF(tblbuyers[[#This Row],[Income]]&lt;30000,"Low",IF(tblbuyers[[#This Row],[Income]]&lt;=70000,"Medium","High"))</f>
        <v>Medium</v>
      </c>
      <c r="R105" s="7" t="str">
        <f>IF(OR(LOWER(TRIM(tblbuyers[[#This Row],[Purchased Bike]]))="yes",LOWER(TRIM(tblbuyers[[#This Row],[Purchased Bike]]))="y"),"Yes","No")</f>
        <v>No</v>
      </c>
    </row>
    <row r="106" spans="1:18"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c r="O106">
        <f>COUNTBLANK(tblbuyers[Income])</f>
        <v>0</v>
      </c>
      <c r="P106" t="str">
        <f>IF(tblbuyers[[#This Row],[Age]]&lt;30,"&lt;30",IF(tblbuyers[[#This Row],[Age]]&lt;=45,"30-45",IF(tblbuyers[[#This Row],[Age]]&lt;=60,"46-60","60+")))</f>
        <v>46-60</v>
      </c>
      <c r="Q106" t="str">
        <f>IF(tblbuyers[[#This Row],[Income]]&lt;30000,"Low",IF(tblbuyers[[#This Row],[Income]]&lt;=70000,"Medium","High"))</f>
        <v>Medium</v>
      </c>
      <c r="R106" s="7" t="str">
        <f>IF(OR(LOWER(TRIM(tblbuyers[[#This Row],[Purchased Bike]]))="yes",LOWER(TRIM(tblbuyers[[#This Row],[Purchased Bike]]))="y"),"Yes","No")</f>
        <v>Yes</v>
      </c>
    </row>
    <row r="107" spans="1:18"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c r="O107">
        <f>COUNTBLANK(tblbuyers[Income])</f>
        <v>0</v>
      </c>
      <c r="P107" t="str">
        <f>IF(tblbuyers[[#This Row],[Age]]&lt;30,"&lt;30",IF(tblbuyers[[#This Row],[Age]]&lt;=45,"30-45",IF(tblbuyers[[#This Row],[Age]]&lt;=60,"46-60","60+")))</f>
        <v>30-45</v>
      </c>
      <c r="Q107" t="str">
        <f>IF(tblbuyers[[#This Row],[Income]]&lt;30000,"Low",IF(tblbuyers[[#This Row],[Income]]&lt;=70000,"Medium","High"))</f>
        <v>Medium</v>
      </c>
      <c r="R107" s="7" t="str">
        <f>IF(OR(LOWER(TRIM(tblbuyers[[#This Row],[Purchased Bike]]))="yes",LOWER(TRIM(tblbuyers[[#This Row],[Purchased Bike]]))="y"),"Yes","No")</f>
        <v>No</v>
      </c>
    </row>
    <row r="108" spans="1:18"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c r="O108">
        <f>COUNTBLANK(tblbuyers[Income])</f>
        <v>0</v>
      </c>
      <c r="P108" t="str">
        <f>IF(tblbuyers[[#This Row],[Age]]&lt;30,"&lt;30",IF(tblbuyers[[#This Row],[Age]]&lt;=45,"30-45",IF(tblbuyers[[#This Row],[Age]]&lt;=60,"46-60","60+")))</f>
        <v>46-60</v>
      </c>
      <c r="Q108" t="str">
        <f>IF(tblbuyers[[#This Row],[Income]]&lt;30000,"Low",IF(tblbuyers[[#This Row],[Income]]&lt;=70000,"Medium","High"))</f>
        <v>Medium</v>
      </c>
      <c r="R108" s="7" t="str">
        <f>IF(OR(LOWER(TRIM(tblbuyers[[#This Row],[Purchased Bike]]))="yes",LOWER(TRIM(tblbuyers[[#This Row],[Purchased Bike]]))="y"),"Yes","No")</f>
        <v>Yes</v>
      </c>
    </row>
    <row r="109" spans="1:18"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c r="O109">
        <f>COUNTBLANK(tblbuyers[Income])</f>
        <v>0</v>
      </c>
      <c r="P109" t="str">
        <f>IF(tblbuyers[[#This Row],[Age]]&lt;30,"&lt;30",IF(tblbuyers[[#This Row],[Age]]&lt;=45,"30-45",IF(tblbuyers[[#This Row],[Age]]&lt;=60,"46-60","60+")))</f>
        <v>46-60</v>
      </c>
      <c r="Q109" t="str">
        <f>IF(tblbuyers[[#This Row],[Income]]&lt;30000,"Low",IF(tblbuyers[[#This Row],[Income]]&lt;=70000,"Medium","High"))</f>
        <v>Medium</v>
      </c>
      <c r="R109" s="7" t="str">
        <f>IF(OR(LOWER(TRIM(tblbuyers[[#This Row],[Purchased Bike]]))="yes",LOWER(TRIM(tblbuyers[[#This Row],[Purchased Bike]]))="y"),"Yes","No")</f>
        <v>Yes</v>
      </c>
    </row>
    <row r="110" spans="1:18"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c r="O110">
        <f>COUNTBLANK(tblbuyers[Income])</f>
        <v>0</v>
      </c>
      <c r="P110" t="str">
        <f>IF(tblbuyers[[#This Row],[Age]]&lt;30,"&lt;30",IF(tblbuyers[[#This Row],[Age]]&lt;=45,"30-45",IF(tblbuyers[[#This Row],[Age]]&lt;=60,"46-60","60+")))</f>
        <v>30-45</v>
      </c>
      <c r="Q110" t="str">
        <f>IF(tblbuyers[[#This Row],[Income]]&lt;30000,"Low",IF(tblbuyers[[#This Row],[Income]]&lt;=70000,"Medium","High"))</f>
        <v>Medium</v>
      </c>
      <c r="R110" s="7" t="str">
        <f>IF(OR(LOWER(TRIM(tblbuyers[[#This Row],[Purchased Bike]]))="yes",LOWER(TRIM(tblbuyers[[#This Row],[Purchased Bike]]))="y"),"Yes","No")</f>
        <v>Yes</v>
      </c>
    </row>
    <row r="111" spans="1:18"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c r="O111">
        <f>COUNTBLANK(tblbuyers[Income])</f>
        <v>0</v>
      </c>
      <c r="P111" t="str">
        <f>IF(tblbuyers[[#This Row],[Age]]&lt;30,"&lt;30",IF(tblbuyers[[#This Row],[Age]]&lt;=45,"30-45",IF(tblbuyers[[#This Row],[Age]]&lt;=60,"46-60","60+")))</f>
        <v>30-45</v>
      </c>
      <c r="Q111" t="str">
        <f>IF(tblbuyers[[#This Row],[Income]]&lt;30000,"Low",IF(tblbuyers[[#This Row],[Income]]&lt;=70000,"Medium","High"))</f>
        <v>Medium</v>
      </c>
      <c r="R111" s="7" t="str">
        <f>IF(OR(LOWER(TRIM(tblbuyers[[#This Row],[Purchased Bike]]))="yes",LOWER(TRIM(tblbuyers[[#This Row],[Purchased Bike]]))="y"),"Yes","No")</f>
        <v>Yes</v>
      </c>
    </row>
    <row r="112" spans="1:18"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c r="O112">
        <f>COUNTBLANK(tblbuyers[Income])</f>
        <v>0</v>
      </c>
      <c r="P112" t="str">
        <f>IF(tblbuyers[[#This Row],[Age]]&lt;30,"&lt;30",IF(tblbuyers[[#This Row],[Age]]&lt;=45,"30-45",IF(tblbuyers[[#This Row],[Age]]&lt;=60,"46-60","60+")))</f>
        <v>46-60</v>
      </c>
      <c r="Q112" t="str">
        <f>IF(tblbuyers[[#This Row],[Income]]&lt;30000,"Low",IF(tblbuyers[[#This Row],[Income]]&lt;=70000,"Medium","High"))</f>
        <v>Medium</v>
      </c>
      <c r="R112" s="7" t="str">
        <f>IF(OR(LOWER(TRIM(tblbuyers[[#This Row],[Purchased Bike]]))="yes",LOWER(TRIM(tblbuyers[[#This Row],[Purchased Bike]]))="y"),"Yes","No")</f>
        <v>Yes</v>
      </c>
    </row>
    <row r="113" spans="1:18"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c r="O113">
        <f>COUNTBLANK(tblbuyers[Income])</f>
        <v>0</v>
      </c>
      <c r="P113" t="str">
        <f>IF(tblbuyers[[#This Row],[Age]]&lt;30,"&lt;30",IF(tblbuyers[[#This Row],[Age]]&lt;=45,"30-45",IF(tblbuyers[[#This Row],[Age]]&lt;=60,"46-60","60+")))</f>
        <v>30-45</v>
      </c>
      <c r="Q113" t="str">
        <f>IF(tblbuyers[[#This Row],[Income]]&lt;30000,"Low",IF(tblbuyers[[#This Row],[Income]]&lt;=70000,"Medium","High"))</f>
        <v>Medium</v>
      </c>
      <c r="R113" s="7" t="str">
        <f>IF(OR(LOWER(TRIM(tblbuyers[[#This Row],[Purchased Bike]]))="yes",LOWER(TRIM(tblbuyers[[#This Row],[Purchased Bike]]))="y"),"Yes","No")</f>
        <v>No</v>
      </c>
    </row>
    <row r="114" spans="1:18"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c r="O114">
        <f>COUNTBLANK(tblbuyers[Income])</f>
        <v>0</v>
      </c>
      <c r="P114" t="str">
        <f>IF(tblbuyers[[#This Row],[Age]]&lt;30,"&lt;30",IF(tblbuyers[[#This Row],[Age]]&lt;=45,"30-45",IF(tblbuyers[[#This Row],[Age]]&lt;=60,"46-60","60+")))</f>
        <v>30-45</v>
      </c>
      <c r="Q114" t="str">
        <f>IF(tblbuyers[[#This Row],[Income]]&lt;30000,"Low",IF(tblbuyers[[#This Row],[Income]]&lt;=70000,"Medium","High"))</f>
        <v>Medium</v>
      </c>
      <c r="R114" s="7" t="str">
        <f>IF(OR(LOWER(TRIM(tblbuyers[[#This Row],[Purchased Bike]]))="yes",LOWER(TRIM(tblbuyers[[#This Row],[Purchased Bike]]))="y"),"Yes","No")</f>
        <v>No</v>
      </c>
    </row>
    <row r="115" spans="1:18"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c r="O115">
        <f>COUNTBLANK(tblbuyers[Income])</f>
        <v>0</v>
      </c>
      <c r="P115" t="str">
        <f>IF(tblbuyers[[#This Row],[Age]]&lt;30,"&lt;30",IF(tblbuyers[[#This Row],[Age]]&lt;=45,"30-45",IF(tblbuyers[[#This Row],[Age]]&lt;=60,"46-60","60+")))</f>
        <v>30-45</v>
      </c>
      <c r="Q115" t="str">
        <f>IF(tblbuyers[[#This Row],[Income]]&lt;30000,"Low",IF(tblbuyers[[#This Row],[Income]]&lt;=70000,"Medium","High"))</f>
        <v>High</v>
      </c>
      <c r="R115" s="7" t="str">
        <f>IF(OR(LOWER(TRIM(tblbuyers[[#This Row],[Purchased Bike]]))="yes",LOWER(TRIM(tblbuyers[[#This Row],[Purchased Bike]]))="y"),"Yes","No")</f>
        <v>Yes</v>
      </c>
    </row>
    <row r="116" spans="1:18"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c r="O116">
        <f>COUNTBLANK(tblbuyers[Income])</f>
        <v>0</v>
      </c>
      <c r="P116" t="str">
        <f>IF(tblbuyers[[#This Row],[Age]]&lt;30,"&lt;30",IF(tblbuyers[[#This Row],[Age]]&lt;=45,"30-45",IF(tblbuyers[[#This Row],[Age]]&lt;=60,"46-60","60+")))</f>
        <v>&lt;30</v>
      </c>
      <c r="Q116" t="str">
        <f>IF(tblbuyers[[#This Row],[Income]]&lt;30000,"Low",IF(tblbuyers[[#This Row],[Income]]&lt;=70000,"Medium","High"))</f>
        <v>Low</v>
      </c>
      <c r="R116" s="7" t="str">
        <f>IF(OR(LOWER(TRIM(tblbuyers[[#This Row],[Purchased Bike]]))="yes",LOWER(TRIM(tblbuyers[[#This Row],[Purchased Bike]]))="y"),"Yes","No")</f>
        <v>Yes</v>
      </c>
    </row>
    <row r="117" spans="1:18"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c r="O117">
        <f>COUNTBLANK(tblbuyers[Income])</f>
        <v>0</v>
      </c>
      <c r="P117" t="str">
        <f>IF(tblbuyers[[#This Row],[Age]]&lt;30,"&lt;30",IF(tblbuyers[[#This Row],[Age]]&lt;=45,"30-45",IF(tblbuyers[[#This Row],[Age]]&lt;=60,"46-60","60+")))</f>
        <v>30-45</v>
      </c>
      <c r="Q117" t="str">
        <f>IF(tblbuyers[[#This Row],[Income]]&lt;30000,"Low",IF(tblbuyers[[#This Row],[Income]]&lt;=70000,"Medium","High"))</f>
        <v>Low</v>
      </c>
      <c r="R117" s="7" t="str">
        <f>IF(OR(LOWER(TRIM(tblbuyers[[#This Row],[Purchased Bike]]))="yes",LOWER(TRIM(tblbuyers[[#This Row],[Purchased Bike]]))="y"),"Yes","No")</f>
        <v>Yes</v>
      </c>
    </row>
    <row r="118" spans="1:18"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c r="O118">
        <f>COUNTBLANK(tblbuyers[Income])</f>
        <v>0</v>
      </c>
      <c r="P118" t="str">
        <f>IF(tblbuyers[[#This Row],[Age]]&lt;30,"&lt;30",IF(tblbuyers[[#This Row],[Age]]&lt;=45,"30-45",IF(tblbuyers[[#This Row],[Age]]&lt;=60,"46-60","60+")))</f>
        <v>30-45</v>
      </c>
      <c r="Q118" t="str">
        <f>IF(tblbuyers[[#This Row],[Income]]&lt;30000,"Low",IF(tblbuyers[[#This Row],[Income]]&lt;=70000,"Medium","High"))</f>
        <v>Medium</v>
      </c>
      <c r="R118" s="7" t="str">
        <f>IF(OR(LOWER(TRIM(tblbuyers[[#This Row],[Purchased Bike]]))="yes",LOWER(TRIM(tblbuyers[[#This Row],[Purchased Bike]]))="y"),"Yes","No")</f>
        <v>No</v>
      </c>
    </row>
    <row r="119" spans="1:18"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c r="O119">
        <f>COUNTBLANK(tblbuyers[Income])</f>
        <v>0</v>
      </c>
      <c r="P119" t="str">
        <f>IF(tblbuyers[[#This Row],[Age]]&lt;30,"&lt;30",IF(tblbuyers[[#This Row],[Age]]&lt;=45,"30-45",IF(tblbuyers[[#This Row],[Age]]&lt;=60,"46-60","60+")))</f>
        <v>30-45</v>
      </c>
      <c r="Q119" t="str">
        <f>IF(tblbuyers[[#This Row],[Income]]&lt;30000,"Low",IF(tblbuyers[[#This Row],[Income]]&lt;=70000,"Medium","High"))</f>
        <v>Low</v>
      </c>
      <c r="R119" s="7" t="str">
        <f>IF(OR(LOWER(TRIM(tblbuyers[[#This Row],[Purchased Bike]]))="yes",LOWER(TRIM(tblbuyers[[#This Row],[Purchased Bike]]))="y"),"Yes","No")</f>
        <v>Yes</v>
      </c>
    </row>
    <row r="120" spans="1:18"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c r="O120">
        <f>COUNTBLANK(tblbuyers[Income])</f>
        <v>0</v>
      </c>
      <c r="P120" t="str">
        <f>IF(tblbuyers[[#This Row],[Age]]&lt;30,"&lt;30",IF(tblbuyers[[#This Row],[Age]]&lt;=45,"30-45",IF(tblbuyers[[#This Row],[Age]]&lt;=60,"46-60","60+")))</f>
        <v>60+</v>
      </c>
      <c r="Q120" t="str">
        <f>IF(tblbuyers[[#This Row],[Income]]&lt;30000,"Low",IF(tblbuyers[[#This Row],[Income]]&lt;=70000,"Medium","High"))</f>
        <v>High</v>
      </c>
      <c r="R120" s="7" t="str">
        <f>IF(OR(LOWER(TRIM(tblbuyers[[#This Row],[Purchased Bike]]))="yes",LOWER(TRIM(tblbuyers[[#This Row],[Purchased Bike]]))="y"),"Yes","No")</f>
        <v>No</v>
      </c>
    </row>
    <row r="121" spans="1:18"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c r="O121">
        <f>COUNTBLANK(tblbuyers[Income])</f>
        <v>0</v>
      </c>
      <c r="P121" t="str">
        <f>IF(tblbuyers[[#This Row],[Age]]&lt;30,"&lt;30",IF(tblbuyers[[#This Row],[Age]]&lt;=45,"30-45",IF(tblbuyers[[#This Row],[Age]]&lt;=60,"46-60","60+")))</f>
        <v>&lt;30</v>
      </c>
      <c r="Q121" t="str">
        <f>IF(tblbuyers[[#This Row],[Income]]&lt;30000,"Low",IF(tblbuyers[[#This Row],[Income]]&lt;=70000,"Medium","High"))</f>
        <v>Medium</v>
      </c>
      <c r="R121" s="7" t="str">
        <f>IF(OR(LOWER(TRIM(tblbuyers[[#This Row],[Purchased Bike]]))="yes",LOWER(TRIM(tblbuyers[[#This Row],[Purchased Bike]]))="y"),"Yes","No")</f>
        <v>No</v>
      </c>
    </row>
    <row r="122" spans="1:18"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c r="O122">
        <f>COUNTBLANK(tblbuyers[Income])</f>
        <v>0</v>
      </c>
      <c r="P122" t="str">
        <f>IF(tblbuyers[[#This Row],[Age]]&lt;30,"&lt;30",IF(tblbuyers[[#This Row],[Age]]&lt;=45,"30-45",IF(tblbuyers[[#This Row],[Age]]&lt;=60,"46-60","60+")))</f>
        <v>60+</v>
      </c>
      <c r="Q122" t="str">
        <f>IF(tblbuyers[[#This Row],[Income]]&lt;30000,"Low",IF(tblbuyers[[#This Row],[Income]]&lt;=70000,"Medium","High"))</f>
        <v>Medium</v>
      </c>
      <c r="R122" s="7" t="str">
        <f>IF(OR(LOWER(TRIM(tblbuyers[[#This Row],[Purchased Bike]]))="yes",LOWER(TRIM(tblbuyers[[#This Row],[Purchased Bike]]))="y"),"Yes","No")</f>
        <v>Yes</v>
      </c>
    </row>
    <row r="123" spans="1:18"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c r="O123">
        <f>COUNTBLANK(tblbuyers[Income])</f>
        <v>0</v>
      </c>
      <c r="P123" t="str">
        <f>IF(tblbuyers[[#This Row],[Age]]&lt;30,"&lt;30",IF(tblbuyers[[#This Row],[Age]]&lt;=45,"30-45",IF(tblbuyers[[#This Row],[Age]]&lt;=60,"46-60","60+")))</f>
        <v>46-60</v>
      </c>
      <c r="Q123" t="str">
        <f>IF(tblbuyers[[#This Row],[Income]]&lt;30000,"Low",IF(tblbuyers[[#This Row],[Income]]&lt;=70000,"Medium","High"))</f>
        <v>High</v>
      </c>
      <c r="R123" s="7" t="str">
        <f>IF(OR(LOWER(TRIM(tblbuyers[[#This Row],[Purchased Bike]]))="yes",LOWER(TRIM(tblbuyers[[#This Row],[Purchased Bike]]))="y"),"Yes","No")</f>
        <v>No</v>
      </c>
    </row>
    <row r="124" spans="1:18" x14ac:dyDescent="0.25">
      <c r="A124">
        <v>12344</v>
      </c>
      <c r="B124" t="s">
        <v>37</v>
      </c>
      <c r="C124" t="s">
        <v>38</v>
      </c>
      <c r="D124" s="3">
        <v>80000</v>
      </c>
      <c r="E124">
        <v>0</v>
      </c>
      <c r="F124" t="s">
        <v>13</v>
      </c>
      <c r="G124" t="s">
        <v>21</v>
      </c>
      <c r="H124" t="s">
        <v>18</v>
      </c>
      <c r="I124">
        <v>3</v>
      </c>
      <c r="J124" t="s">
        <v>30</v>
      </c>
      <c r="K124" t="s">
        <v>24</v>
      </c>
      <c r="L124">
        <v>31</v>
      </c>
      <c r="M124" t="str">
        <f t="shared" si="1"/>
        <v>Middle Age</v>
      </c>
      <c r="N124" t="s">
        <v>18</v>
      </c>
      <c r="O124">
        <f>COUNTBLANK(tblbuyers[Income])</f>
        <v>0</v>
      </c>
      <c r="P124" t="str">
        <f>IF(tblbuyers[[#This Row],[Age]]&lt;30,"&lt;30",IF(tblbuyers[[#This Row],[Age]]&lt;=45,"30-45",IF(tblbuyers[[#This Row],[Age]]&lt;=60,"46-60","60+")))</f>
        <v>30-45</v>
      </c>
      <c r="Q124" t="str">
        <f>IF(tblbuyers[[#This Row],[Income]]&lt;30000,"Low",IF(tblbuyers[[#This Row],[Income]]&lt;=70000,"Medium","High"))</f>
        <v>High</v>
      </c>
      <c r="R124" s="7" t="str">
        <f>IF(OR(LOWER(TRIM(tblbuyers[[#This Row],[Purchased Bike]]))="yes",LOWER(TRIM(tblbuyers[[#This Row],[Purchased Bike]]))="y"),"Yes","No")</f>
        <v>No</v>
      </c>
    </row>
    <row r="125" spans="1:18"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c r="O125">
        <f>COUNTBLANK(tblbuyers[Income])</f>
        <v>0</v>
      </c>
      <c r="P125" t="str">
        <f>IF(tblbuyers[[#This Row],[Age]]&lt;30,"&lt;30",IF(tblbuyers[[#This Row],[Age]]&lt;=45,"30-45",IF(tblbuyers[[#This Row],[Age]]&lt;=60,"46-60","60+")))</f>
        <v>46-60</v>
      </c>
      <c r="Q125" t="str">
        <f>IF(tblbuyers[[#This Row],[Income]]&lt;30000,"Low",IF(tblbuyers[[#This Row],[Income]]&lt;=70000,"Medium","High"))</f>
        <v>High</v>
      </c>
      <c r="R125" s="7" t="str">
        <f>IF(OR(LOWER(TRIM(tblbuyers[[#This Row],[Purchased Bike]]))="yes",LOWER(TRIM(tblbuyers[[#This Row],[Purchased Bike]]))="y"),"Yes","No")</f>
        <v>No</v>
      </c>
    </row>
    <row r="126" spans="1:18"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c r="O126">
        <f>COUNTBLANK(tblbuyers[Income])</f>
        <v>0</v>
      </c>
      <c r="P126" t="str">
        <f>IF(tblbuyers[[#This Row],[Age]]&lt;30,"&lt;30",IF(tblbuyers[[#This Row],[Age]]&lt;=45,"30-45",IF(tblbuyers[[#This Row],[Age]]&lt;=60,"46-60","60+")))</f>
        <v>30-45</v>
      </c>
      <c r="Q126" t="str">
        <f>IF(tblbuyers[[#This Row],[Income]]&lt;30000,"Low",IF(tblbuyers[[#This Row],[Income]]&lt;=70000,"Medium","High"))</f>
        <v>Medium</v>
      </c>
      <c r="R126" s="7" t="str">
        <f>IF(OR(LOWER(TRIM(tblbuyers[[#This Row],[Purchased Bike]]))="yes",LOWER(TRIM(tblbuyers[[#This Row],[Purchased Bike]]))="y"),"Yes","No")</f>
        <v>Yes</v>
      </c>
    </row>
    <row r="127" spans="1:18"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c r="O127">
        <f>COUNTBLANK(tblbuyers[Income])</f>
        <v>0</v>
      </c>
      <c r="P127" t="str">
        <f>IF(tblbuyers[[#This Row],[Age]]&lt;30,"&lt;30",IF(tblbuyers[[#This Row],[Age]]&lt;=45,"30-45",IF(tblbuyers[[#This Row],[Age]]&lt;=60,"46-60","60+")))</f>
        <v>30-45</v>
      </c>
      <c r="Q127" t="str">
        <f>IF(tblbuyers[[#This Row],[Income]]&lt;30000,"Low",IF(tblbuyers[[#This Row],[Income]]&lt;=70000,"Medium","High"))</f>
        <v>High</v>
      </c>
      <c r="R127" s="7" t="str">
        <f>IF(OR(LOWER(TRIM(tblbuyers[[#This Row],[Purchased Bike]]))="yes",LOWER(TRIM(tblbuyers[[#This Row],[Purchased Bike]]))="y"),"Yes","No")</f>
        <v>No</v>
      </c>
    </row>
    <row r="128" spans="1:18"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c r="O128">
        <f>COUNTBLANK(tblbuyers[Income])</f>
        <v>0</v>
      </c>
      <c r="P128" t="str">
        <f>IF(tblbuyers[[#This Row],[Age]]&lt;30,"&lt;30",IF(tblbuyers[[#This Row],[Age]]&lt;=45,"30-45",IF(tblbuyers[[#This Row],[Age]]&lt;=60,"46-60","60+")))</f>
        <v>30-45</v>
      </c>
      <c r="Q128" t="str">
        <f>IF(tblbuyers[[#This Row],[Income]]&lt;30000,"Low",IF(tblbuyers[[#This Row],[Income]]&lt;=70000,"Medium","High"))</f>
        <v>Medium</v>
      </c>
      <c r="R128" s="7" t="str">
        <f>IF(OR(LOWER(TRIM(tblbuyers[[#This Row],[Purchased Bike]]))="yes",LOWER(TRIM(tblbuyers[[#This Row],[Purchased Bike]]))="y"),"Yes","No")</f>
        <v>No</v>
      </c>
    </row>
    <row r="129" spans="1:18"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c r="O129">
        <f>COUNTBLANK(tblbuyers[Income])</f>
        <v>0</v>
      </c>
      <c r="P129" t="str">
        <f>IF(tblbuyers[[#This Row],[Age]]&lt;30,"&lt;30",IF(tblbuyers[[#This Row],[Age]]&lt;=45,"30-45",IF(tblbuyers[[#This Row],[Age]]&lt;=60,"46-60","60+")))</f>
        <v>30-45</v>
      </c>
      <c r="Q129" t="str">
        <f>IF(tblbuyers[[#This Row],[Income]]&lt;30000,"Low",IF(tblbuyers[[#This Row],[Income]]&lt;=70000,"Medium","High"))</f>
        <v>Medium</v>
      </c>
      <c r="R129" s="7" t="str">
        <f>IF(OR(LOWER(TRIM(tblbuyers[[#This Row],[Purchased Bike]]))="yes",LOWER(TRIM(tblbuyers[[#This Row],[Purchased Bike]]))="y"),"Yes","No")</f>
        <v>No</v>
      </c>
    </row>
    <row r="130" spans="1:18"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c r="O130">
        <f>COUNTBLANK(tblbuyers[Income])</f>
        <v>0</v>
      </c>
      <c r="P130" t="str">
        <f>IF(tblbuyers[[#This Row],[Age]]&lt;30,"&lt;30",IF(tblbuyers[[#This Row],[Age]]&lt;=45,"30-45",IF(tblbuyers[[#This Row],[Age]]&lt;=60,"46-60","60+")))</f>
        <v>46-60</v>
      </c>
      <c r="Q130" t="str">
        <f>IF(tblbuyers[[#This Row],[Income]]&lt;30000,"Low",IF(tblbuyers[[#This Row],[Income]]&lt;=70000,"Medium","High"))</f>
        <v>Low</v>
      </c>
      <c r="R130" s="7" t="str">
        <f>IF(OR(LOWER(TRIM(tblbuyers[[#This Row],[Purchased Bike]]))="yes",LOWER(TRIM(tblbuyers[[#This Row],[Purchased Bike]]))="y"),"Yes","No")</f>
        <v>Yes</v>
      </c>
    </row>
    <row r="131" spans="1:18"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c r="O131">
        <f>COUNTBLANK(tblbuyers[Income])</f>
        <v>0</v>
      </c>
      <c r="P131" t="str">
        <f>IF(tblbuyers[[#This Row],[Age]]&lt;30,"&lt;30",IF(tblbuyers[[#This Row],[Age]]&lt;=45,"30-45",IF(tblbuyers[[#This Row],[Age]]&lt;=60,"46-60","60+")))</f>
        <v>30-45</v>
      </c>
      <c r="Q131" t="str">
        <f>IF(tblbuyers[[#This Row],[Income]]&lt;30000,"Low",IF(tblbuyers[[#This Row],[Income]]&lt;=70000,"Medium","High"))</f>
        <v>Low</v>
      </c>
      <c r="R131" s="7" t="str">
        <f>IF(OR(LOWER(TRIM(tblbuyers[[#This Row],[Purchased Bike]]))="yes",LOWER(TRIM(tblbuyers[[#This Row],[Purchased Bike]]))="y"),"Yes","No")</f>
        <v>Yes</v>
      </c>
    </row>
    <row r="132" spans="1:18"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c r="O132">
        <f>COUNTBLANK(tblbuyers[Income])</f>
        <v>0</v>
      </c>
      <c r="P132" t="str">
        <f>IF(tblbuyers[[#This Row],[Age]]&lt;30,"&lt;30",IF(tblbuyers[[#This Row],[Age]]&lt;=45,"30-45",IF(tblbuyers[[#This Row],[Age]]&lt;=60,"46-60","60+")))</f>
        <v>30-45</v>
      </c>
      <c r="Q132" t="str">
        <f>IF(tblbuyers[[#This Row],[Income]]&lt;30000,"Low",IF(tblbuyers[[#This Row],[Income]]&lt;=70000,"Medium","High"))</f>
        <v>Medium</v>
      </c>
      <c r="R132" s="7" t="str">
        <f>IF(OR(LOWER(TRIM(tblbuyers[[#This Row],[Purchased Bike]]))="yes",LOWER(TRIM(tblbuyers[[#This Row],[Purchased Bike]]))="y"),"Yes","No")</f>
        <v>No</v>
      </c>
    </row>
    <row r="133" spans="1:18"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c r="O133">
        <f>COUNTBLANK(tblbuyers[Income])</f>
        <v>0</v>
      </c>
      <c r="P133" t="str">
        <f>IF(tblbuyers[[#This Row],[Age]]&lt;30,"&lt;30",IF(tblbuyers[[#This Row],[Age]]&lt;=45,"30-45",IF(tblbuyers[[#This Row],[Age]]&lt;=60,"46-60","60+")))</f>
        <v>46-60</v>
      </c>
      <c r="Q133" t="str">
        <f>IF(tblbuyers[[#This Row],[Income]]&lt;30000,"Low",IF(tblbuyers[[#This Row],[Income]]&lt;=70000,"Medium","High"))</f>
        <v>High</v>
      </c>
      <c r="R133" s="7" t="str">
        <f>IF(OR(LOWER(TRIM(tblbuyers[[#This Row],[Purchased Bike]]))="yes",LOWER(TRIM(tblbuyers[[#This Row],[Purchased Bike]]))="y"),"Yes","No")</f>
        <v>Yes</v>
      </c>
    </row>
    <row r="134" spans="1:18"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c r="O134">
        <f>COUNTBLANK(tblbuyers[Income])</f>
        <v>0</v>
      </c>
      <c r="P134" t="str">
        <f>IF(tblbuyers[[#This Row],[Age]]&lt;30,"&lt;30",IF(tblbuyers[[#This Row],[Age]]&lt;=45,"30-45",IF(tblbuyers[[#This Row],[Age]]&lt;=60,"46-60","60+")))</f>
        <v>30-45</v>
      </c>
      <c r="Q134" t="str">
        <f>IF(tblbuyers[[#This Row],[Income]]&lt;30000,"Low",IF(tblbuyers[[#This Row],[Income]]&lt;=70000,"Medium","High"))</f>
        <v>Medium</v>
      </c>
      <c r="R134" s="7" t="str">
        <f>IF(OR(LOWER(TRIM(tblbuyers[[#This Row],[Purchased Bike]]))="yes",LOWER(TRIM(tblbuyers[[#This Row],[Purchased Bike]]))="y"),"Yes","No")</f>
        <v>Yes</v>
      </c>
    </row>
    <row r="135" spans="1:18"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c r="O135">
        <f>COUNTBLANK(tblbuyers[Income])</f>
        <v>0</v>
      </c>
      <c r="P135" t="str">
        <f>IF(tblbuyers[[#This Row],[Age]]&lt;30,"&lt;30",IF(tblbuyers[[#This Row],[Age]]&lt;=45,"30-45",IF(tblbuyers[[#This Row],[Age]]&lt;=60,"46-60","60+")))</f>
        <v>60+</v>
      </c>
      <c r="Q135" t="str">
        <f>IF(tblbuyers[[#This Row],[Income]]&lt;30000,"Low",IF(tblbuyers[[#This Row],[Income]]&lt;=70000,"Medium","High"))</f>
        <v>Medium</v>
      </c>
      <c r="R135" s="7" t="str">
        <f>IF(OR(LOWER(TRIM(tblbuyers[[#This Row],[Purchased Bike]]))="yes",LOWER(TRIM(tblbuyers[[#This Row],[Purchased Bike]]))="y"),"Yes","No")</f>
        <v>Yes</v>
      </c>
    </row>
    <row r="136" spans="1:18"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c r="O136">
        <f>COUNTBLANK(tblbuyers[Income])</f>
        <v>0</v>
      </c>
      <c r="P136" t="str">
        <f>IF(tblbuyers[[#This Row],[Age]]&lt;30,"&lt;30",IF(tblbuyers[[#This Row],[Age]]&lt;=45,"30-45",IF(tblbuyers[[#This Row],[Age]]&lt;=60,"46-60","60+")))</f>
        <v>30-45</v>
      </c>
      <c r="Q136" t="str">
        <f>IF(tblbuyers[[#This Row],[Income]]&lt;30000,"Low",IF(tblbuyers[[#This Row],[Income]]&lt;=70000,"Medium","High"))</f>
        <v>Medium</v>
      </c>
      <c r="R136" s="7" t="str">
        <f>IF(OR(LOWER(TRIM(tblbuyers[[#This Row],[Purchased Bike]]))="yes",LOWER(TRIM(tblbuyers[[#This Row],[Purchased Bike]]))="y"),"Yes","No")</f>
        <v>No</v>
      </c>
    </row>
    <row r="137" spans="1:18"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c r="O137">
        <f>COUNTBLANK(tblbuyers[Income])</f>
        <v>0</v>
      </c>
      <c r="P137" t="str">
        <f>IF(tblbuyers[[#This Row],[Age]]&lt;30,"&lt;30",IF(tblbuyers[[#This Row],[Age]]&lt;=45,"30-45",IF(tblbuyers[[#This Row],[Age]]&lt;=60,"46-60","60+")))</f>
        <v>46-60</v>
      </c>
      <c r="Q137" t="str">
        <f>IF(tblbuyers[[#This Row],[Income]]&lt;30000,"Low",IF(tblbuyers[[#This Row],[Income]]&lt;=70000,"Medium","High"))</f>
        <v>Low</v>
      </c>
      <c r="R137" s="7" t="str">
        <f>IF(OR(LOWER(TRIM(tblbuyers[[#This Row],[Purchased Bike]]))="yes",LOWER(TRIM(tblbuyers[[#This Row],[Purchased Bike]]))="y"),"Yes","No")</f>
        <v>No</v>
      </c>
    </row>
    <row r="138" spans="1:18"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c r="O138">
        <f>COUNTBLANK(tblbuyers[Income])</f>
        <v>0</v>
      </c>
      <c r="P138" t="str">
        <f>IF(tblbuyers[[#This Row],[Age]]&lt;30,"&lt;30",IF(tblbuyers[[#This Row],[Age]]&lt;=45,"30-45",IF(tblbuyers[[#This Row],[Age]]&lt;=60,"46-60","60+")))</f>
        <v>30-45</v>
      </c>
      <c r="Q138" t="str">
        <f>IF(tblbuyers[[#This Row],[Income]]&lt;30000,"Low",IF(tblbuyers[[#This Row],[Income]]&lt;=70000,"Medium","High"))</f>
        <v>Low</v>
      </c>
      <c r="R138" s="7" t="str">
        <f>IF(OR(LOWER(TRIM(tblbuyers[[#This Row],[Purchased Bike]]))="yes",LOWER(TRIM(tblbuyers[[#This Row],[Purchased Bike]]))="y"),"Yes","No")</f>
        <v>Yes</v>
      </c>
    </row>
    <row r="139" spans="1:18"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c r="O139">
        <f>COUNTBLANK(tblbuyers[Income])</f>
        <v>0</v>
      </c>
      <c r="P139" t="str">
        <f>IF(tblbuyers[[#This Row],[Age]]&lt;30,"&lt;30",IF(tblbuyers[[#This Row],[Age]]&lt;=45,"30-45",IF(tblbuyers[[#This Row],[Age]]&lt;=60,"46-60","60+")))</f>
        <v>30-45</v>
      </c>
      <c r="Q139" t="str">
        <f>IF(tblbuyers[[#This Row],[Income]]&lt;30000,"Low",IF(tblbuyers[[#This Row],[Income]]&lt;=70000,"Medium","High"))</f>
        <v>Low</v>
      </c>
      <c r="R139" s="7" t="str">
        <f>IF(OR(LOWER(TRIM(tblbuyers[[#This Row],[Purchased Bike]]))="yes",LOWER(TRIM(tblbuyers[[#This Row],[Purchased Bike]]))="y"),"Yes","No")</f>
        <v>No</v>
      </c>
    </row>
    <row r="140" spans="1:18"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c r="O140">
        <f>COUNTBLANK(tblbuyers[Income])</f>
        <v>0</v>
      </c>
      <c r="P140" t="str">
        <f>IF(tblbuyers[[#This Row],[Age]]&lt;30,"&lt;30",IF(tblbuyers[[#This Row],[Age]]&lt;=45,"30-45",IF(tblbuyers[[#This Row],[Age]]&lt;=60,"46-60","60+")))</f>
        <v>46-60</v>
      </c>
      <c r="Q140" t="str">
        <f>IF(tblbuyers[[#This Row],[Income]]&lt;30000,"Low",IF(tblbuyers[[#This Row],[Income]]&lt;=70000,"Medium","High"))</f>
        <v>Low</v>
      </c>
      <c r="R140" s="7" t="str">
        <f>IF(OR(LOWER(TRIM(tblbuyers[[#This Row],[Purchased Bike]]))="yes",LOWER(TRIM(tblbuyers[[#This Row],[Purchased Bike]]))="y"),"Yes","No")</f>
        <v>Yes</v>
      </c>
    </row>
    <row r="141" spans="1:18"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c r="O141">
        <f>COUNTBLANK(tblbuyers[Income])</f>
        <v>0</v>
      </c>
      <c r="P141" t="str">
        <f>IF(tblbuyers[[#This Row],[Age]]&lt;30,"&lt;30",IF(tblbuyers[[#This Row],[Age]]&lt;=45,"30-45",IF(tblbuyers[[#This Row],[Age]]&lt;=60,"46-60","60+")))</f>
        <v>46-60</v>
      </c>
      <c r="Q141" t="str">
        <f>IF(tblbuyers[[#This Row],[Income]]&lt;30000,"Low",IF(tblbuyers[[#This Row],[Income]]&lt;=70000,"Medium","High"))</f>
        <v>Medium</v>
      </c>
      <c r="R141" s="7" t="str">
        <f>IF(OR(LOWER(TRIM(tblbuyers[[#This Row],[Purchased Bike]]))="yes",LOWER(TRIM(tblbuyers[[#This Row],[Purchased Bike]]))="y"),"Yes","No")</f>
        <v>Yes</v>
      </c>
    </row>
    <row r="142" spans="1:18"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c r="O142">
        <f>COUNTBLANK(tblbuyers[Income])</f>
        <v>0</v>
      </c>
      <c r="P142" t="str">
        <f>IF(tblbuyers[[#This Row],[Age]]&lt;30,"&lt;30",IF(tblbuyers[[#This Row],[Age]]&lt;=45,"30-45",IF(tblbuyers[[#This Row],[Age]]&lt;=60,"46-60","60+")))</f>
        <v>30-45</v>
      </c>
      <c r="Q142" t="str">
        <f>IF(tblbuyers[[#This Row],[Income]]&lt;30000,"Low",IF(tblbuyers[[#This Row],[Income]]&lt;=70000,"Medium","High"))</f>
        <v>Medium</v>
      </c>
      <c r="R142" s="7" t="str">
        <f>IF(OR(LOWER(TRIM(tblbuyers[[#This Row],[Purchased Bike]]))="yes",LOWER(TRIM(tblbuyers[[#This Row],[Purchased Bike]]))="y"),"Yes","No")</f>
        <v>Yes</v>
      </c>
    </row>
    <row r="143" spans="1:18"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c r="O143">
        <f>COUNTBLANK(tblbuyers[Income])</f>
        <v>0</v>
      </c>
      <c r="P143" t="str">
        <f>IF(tblbuyers[[#This Row],[Age]]&lt;30,"&lt;30",IF(tblbuyers[[#This Row],[Age]]&lt;=45,"30-45",IF(tblbuyers[[#This Row],[Age]]&lt;=60,"46-60","60+")))</f>
        <v>&lt;30</v>
      </c>
      <c r="Q143" t="str">
        <f>IF(tblbuyers[[#This Row],[Income]]&lt;30000,"Low",IF(tblbuyers[[#This Row],[Income]]&lt;=70000,"Medium","High"))</f>
        <v>Low</v>
      </c>
      <c r="R143" s="7" t="str">
        <f>IF(OR(LOWER(TRIM(tblbuyers[[#This Row],[Purchased Bike]]))="yes",LOWER(TRIM(tblbuyers[[#This Row],[Purchased Bike]]))="y"),"Yes","No")</f>
        <v>Yes</v>
      </c>
    </row>
    <row r="144" spans="1:18"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c r="O144">
        <f>COUNTBLANK(tblbuyers[Income])</f>
        <v>0</v>
      </c>
      <c r="P144" t="str">
        <f>IF(tblbuyers[[#This Row],[Age]]&lt;30,"&lt;30",IF(tblbuyers[[#This Row],[Age]]&lt;=45,"30-45",IF(tblbuyers[[#This Row],[Age]]&lt;=60,"46-60","60+")))</f>
        <v>30-45</v>
      </c>
      <c r="Q144" t="str">
        <f>IF(tblbuyers[[#This Row],[Income]]&lt;30000,"Low",IF(tblbuyers[[#This Row],[Income]]&lt;=70000,"Medium","High"))</f>
        <v>Medium</v>
      </c>
      <c r="R144" s="7" t="str">
        <f>IF(OR(LOWER(TRIM(tblbuyers[[#This Row],[Purchased Bike]]))="yes",LOWER(TRIM(tblbuyers[[#This Row],[Purchased Bike]]))="y"),"Yes","No")</f>
        <v>Yes</v>
      </c>
    </row>
    <row r="145" spans="1:18" x14ac:dyDescent="0.25">
      <c r="A145">
        <v>16614</v>
      </c>
      <c r="B145" t="s">
        <v>36</v>
      </c>
      <c r="C145" t="s">
        <v>38</v>
      </c>
      <c r="D145" s="3">
        <v>80000</v>
      </c>
      <c r="E145">
        <v>0</v>
      </c>
      <c r="F145" t="s">
        <v>13</v>
      </c>
      <c r="G145" t="s">
        <v>21</v>
      </c>
      <c r="H145" t="s">
        <v>15</v>
      </c>
      <c r="I145">
        <v>3</v>
      </c>
      <c r="J145" t="s">
        <v>30</v>
      </c>
      <c r="K145" t="s">
        <v>24</v>
      </c>
      <c r="L145">
        <v>32</v>
      </c>
      <c r="M145" t="str">
        <f t="shared" si="2"/>
        <v>Middle Age</v>
      </c>
      <c r="N145" t="s">
        <v>18</v>
      </c>
      <c r="O145">
        <f>COUNTBLANK(tblbuyers[Income])</f>
        <v>0</v>
      </c>
      <c r="P145" t="str">
        <f>IF(tblbuyers[[#This Row],[Age]]&lt;30,"&lt;30",IF(tblbuyers[[#This Row],[Age]]&lt;=45,"30-45",IF(tblbuyers[[#This Row],[Age]]&lt;=60,"46-60","60+")))</f>
        <v>30-45</v>
      </c>
      <c r="Q145" t="str">
        <f>IF(tblbuyers[[#This Row],[Income]]&lt;30000,"Low",IF(tblbuyers[[#This Row],[Income]]&lt;=70000,"Medium","High"))</f>
        <v>High</v>
      </c>
      <c r="R145" s="7" t="str">
        <f>IF(OR(LOWER(TRIM(tblbuyers[[#This Row],[Purchased Bike]]))="yes",LOWER(TRIM(tblbuyers[[#This Row],[Purchased Bike]]))="y"),"Yes","No")</f>
        <v>No</v>
      </c>
    </row>
    <row r="146" spans="1:18"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c r="O146">
        <f>COUNTBLANK(tblbuyers[Income])</f>
        <v>0</v>
      </c>
      <c r="P146" t="str">
        <f>IF(tblbuyers[[#This Row],[Age]]&lt;30,"&lt;30",IF(tblbuyers[[#This Row],[Age]]&lt;=45,"30-45",IF(tblbuyers[[#This Row],[Age]]&lt;=60,"46-60","60+")))</f>
        <v>30-45</v>
      </c>
      <c r="Q146" t="str">
        <f>IF(tblbuyers[[#This Row],[Income]]&lt;30000,"Low",IF(tblbuyers[[#This Row],[Income]]&lt;=70000,"Medium","High"))</f>
        <v>Medium</v>
      </c>
      <c r="R146" s="7" t="str">
        <f>IF(OR(LOWER(TRIM(tblbuyers[[#This Row],[Purchased Bike]]))="yes",LOWER(TRIM(tblbuyers[[#This Row],[Purchased Bike]]))="y"),"Yes","No")</f>
        <v>Yes</v>
      </c>
    </row>
    <row r="147" spans="1:18"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c r="O147">
        <f>COUNTBLANK(tblbuyers[Income])</f>
        <v>0</v>
      </c>
      <c r="P147" t="str">
        <f>IF(tblbuyers[[#This Row],[Age]]&lt;30,"&lt;30",IF(tblbuyers[[#This Row],[Age]]&lt;=45,"30-45",IF(tblbuyers[[#This Row],[Age]]&lt;=60,"46-60","60+")))</f>
        <v>30-45</v>
      </c>
      <c r="Q147" t="str">
        <f>IF(tblbuyers[[#This Row],[Income]]&lt;30000,"Low",IF(tblbuyers[[#This Row],[Income]]&lt;=70000,"Medium","High"))</f>
        <v>Medium</v>
      </c>
      <c r="R147" s="7" t="str">
        <f>IF(OR(LOWER(TRIM(tblbuyers[[#This Row],[Purchased Bike]]))="yes",LOWER(TRIM(tblbuyers[[#This Row],[Purchased Bike]]))="y"),"Yes","No")</f>
        <v>No</v>
      </c>
    </row>
    <row r="148" spans="1:18"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c r="O148">
        <f>COUNTBLANK(tblbuyers[Income])</f>
        <v>0</v>
      </c>
      <c r="P148" t="str">
        <f>IF(tblbuyers[[#This Row],[Age]]&lt;30,"&lt;30",IF(tblbuyers[[#This Row],[Age]]&lt;=45,"30-45",IF(tblbuyers[[#This Row],[Age]]&lt;=60,"46-60","60+")))</f>
        <v>30-45</v>
      </c>
      <c r="Q148" t="str">
        <f>IF(tblbuyers[[#This Row],[Income]]&lt;30000,"Low",IF(tblbuyers[[#This Row],[Income]]&lt;=70000,"Medium","High"))</f>
        <v>Medium</v>
      </c>
      <c r="R148" s="7" t="str">
        <f>IF(OR(LOWER(TRIM(tblbuyers[[#This Row],[Purchased Bike]]))="yes",LOWER(TRIM(tblbuyers[[#This Row],[Purchased Bike]]))="y"),"Yes","No")</f>
        <v>Yes</v>
      </c>
    </row>
    <row r="149" spans="1:18"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c r="O149">
        <f>COUNTBLANK(tblbuyers[Income])</f>
        <v>0</v>
      </c>
      <c r="P149" t="str">
        <f>IF(tblbuyers[[#This Row],[Age]]&lt;30,"&lt;30",IF(tblbuyers[[#This Row],[Age]]&lt;=45,"30-45",IF(tblbuyers[[#This Row],[Age]]&lt;=60,"46-60","60+")))</f>
        <v>30-45</v>
      </c>
      <c r="Q149" t="str">
        <f>IF(tblbuyers[[#This Row],[Income]]&lt;30000,"Low",IF(tblbuyers[[#This Row],[Income]]&lt;=70000,"Medium","High"))</f>
        <v>Medium</v>
      </c>
      <c r="R149" s="7" t="str">
        <f>IF(OR(LOWER(TRIM(tblbuyers[[#This Row],[Purchased Bike]]))="yes",LOWER(TRIM(tblbuyers[[#This Row],[Purchased Bike]]))="y"),"Yes","No")</f>
        <v>Yes</v>
      </c>
    </row>
    <row r="150" spans="1:18"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c r="O150">
        <f>COUNTBLANK(tblbuyers[Income])</f>
        <v>0</v>
      </c>
      <c r="P150" t="str">
        <f>IF(tblbuyers[[#This Row],[Age]]&lt;30,"&lt;30",IF(tblbuyers[[#This Row],[Age]]&lt;=45,"30-45",IF(tblbuyers[[#This Row],[Age]]&lt;=60,"46-60","60+")))</f>
        <v>46-60</v>
      </c>
      <c r="Q150" t="str">
        <f>IF(tblbuyers[[#This Row],[Income]]&lt;30000,"Low",IF(tblbuyers[[#This Row],[Income]]&lt;=70000,"Medium","High"))</f>
        <v>Low</v>
      </c>
      <c r="R150" s="7" t="str">
        <f>IF(OR(LOWER(TRIM(tblbuyers[[#This Row],[Purchased Bike]]))="yes",LOWER(TRIM(tblbuyers[[#This Row],[Purchased Bike]]))="y"),"Yes","No")</f>
        <v>No</v>
      </c>
    </row>
    <row r="151" spans="1:18"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c r="O151">
        <f>COUNTBLANK(tblbuyers[Income])</f>
        <v>0</v>
      </c>
      <c r="P151" t="str">
        <f>IF(tblbuyers[[#This Row],[Age]]&lt;30,"&lt;30",IF(tblbuyers[[#This Row],[Age]]&lt;=45,"30-45",IF(tblbuyers[[#This Row],[Age]]&lt;=60,"46-60","60+")))</f>
        <v>&lt;30</v>
      </c>
      <c r="Q151" t="str">
        <f>IF(tblbuyers[[#This Row],[Income]]&lt;30000,"Low",IF(tblbuyers[[#This Row],[Income]]&lt;=70000,"Medium","High"))</f>
        <v>Medium</v>
      </c>
      <c r="R151" s="7" t="str">
        <f>IF(OR(LOWER(TRIM(tblbuyers[[#This Row],[Purchased Bike]]))="yes",LOWER(TRIM(tblbuyers[[#This Row],[Purchased Bike]]))="y"),"Yes","No")</f>
        <v>No</v>
      </c>
    </row>
    <row r="152" spans="1:18"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c r="O152">
        <f>COUNTBLANK(tblbuyers[Income])</f>
        <v>0</v>
      </c>
      <c r="P152" t="str">
        <f>IF(tblbuyers[[#This Row],[Age]]&lt;30,"&lt;30",IF(tblbuyers[[#This Row],[Age]]&lt;=45,"30-45",IF(tblbuyers[[#This Row],[Age]]&lt;=60,"46-60","60+")))</f>
        <v>30-45</v>
      </c>
      <c r="Q152" t="str">
        <f>IF(tblbuyers[[#This Row],[Income]]&lt;30000,"Low",IF(tblbuyers[[#This Row],[Income]]&lt;=70000,"Medium","High"))</f>
        <v>Medium</v>
      </c>
      <c r="R152" s="7" t="str">
        <f>IF(OR(LOWER(TRIM(tblbuyers[[#This Row],[Purchased Bike]]))="yes",LOWER(TRIM(tblbuyers[[#This Row],[Purchased Bike]]))="y"),"Yes","No")</f>
        <v>Yes</v>
      </c>
    </row>
    <row r="153" spans="1:18"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c r="O153">
        <f>COUNTBLANK(tblbuyers[Income])</f>
        <v>0</v>
      </c>
      <c r="P153" t="str">
        <f>IF(tblbuyers[[#This Row],[Age]]&lt;30,"&lt;30",IF(tblbuyers[[#This Row],[Age]]&lt;=45,"30-45",IF(tblbuyers[[#This Row],[Age]]&lt;=60,"46-60","60+")))</f>
        <v>46-60</v>
      </c>
      <c r="Q153" t="str">
        <f>IF(tblbuyers[[#This Row],[Income]]&lt;30000,"Low",IF(tblbuyers[[#This Row],[Income]]&lt;=70000,"Medium","High"))</f>
        <v>High</v>
      </c>
      <c r="R153" s="7" t="str">
        <f>IF(OR(LOWER(TRIM(tblbuyers[[#This Row],[Purchased Bike]]))="yes",LOWER(TRIM(tblbuyers[[#This Row],[Purchased Bike]]))="y"),"Yes","No")</f>
        <v>No</v>
      </c>
    </row>
    <row r="154" spans="1:18"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c r="O154">
        <f>COUNTBLANK(tblbuyers[Income])</f>
        <v>0</v>
      </c>
      <c r="P154" t="str">
        <f>IF(tblbuyers[[#This Row],[Age]]&lt;30,"&lt;30",IF(tblbuyers[[#This Row],[Age]]&lt;=45,"30-45",IF(tblbuyers[[#This Row],[Age]]&lt;=60,"46-60","60+")))</f>
        <v>30-45</v>
      </c>
      <c r="Q154" t="str">
        <f>IF(tblbuyers[[#This Row],[Income]]&lt;30000,"Low",IF(tblbuyers[[#This Row],[Income]]&lt;=70000,"Medium","High"))</f>
        <v>Low</v>
      </c>
      <c r="R154" s="7" t="str">
        <f>IF(OR(LOWER(TRIM(tblbuyers[[#This Row],[Purchased Bike]]))="yes",LOWER(TRIM(tblbuyers[[#This Row],[Purchased Bike]]))="y"),"Yes","No")</f>
        <v>No</v>
      </c>
    </row>
    <row r="155" spans="1:18"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c r="O155">
        <f>COUNTBLANK(tblbuyers[Income])</f>
        <v>0</v>
      </c>
      <c r="P155" t="str">
        <f>IF(tblbuyers[[#This Row],[Age]]&lt;30,"&lt;30",IF(tblbuyers[[#This Row],[Age]]&lt;=45,"30-45",IF(tblbuyers[[#This Row],[Age]]&lt;=60,"46-60","60+")))</f>
        <v>46-60</v>
      </c>
      <c r="Q155" t="str">
        <f>IF(tblbuyers[[#This Row],[Income]]&lt;30000,"Low",IF(tblbuyers[[#This Row],[Income]]&lt;=70000,"Medium","High"))</f>
        <v>High</v>
      </c>
      <c r="R155" s="7" t="str">
        <f>IF(OR(LOWER(TRIM(tblbuyers[[#This Row],[Purchased Bike]]))="yes",LOWER(TRIM(tblbuyers[[#This Row],[Purchased Bike]]))="y"),"Yes","No")</f>
        <v>No</v>
      </c>
    </row>
    <row r="156" spans="1:18"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c r="O156">
        <f>COUNTBLANK(tblbuyers[Income])</f>
        <v>0</v>
      </c>
      <c r="P156" t="str">
        <f>IF(tblbuyers[[#This Row],[Age]]&lt;30,"&lt;30",IF(tblbuyers[[#This Row],[Age]]&lt;=45,"30-45",IF(tblbuyers[[#This Row],[Age]]&lt;=60,"46-60","60+")))</f>
        <v>30-45</v>
      </c>
      <c r="Q156" t="str">
        <f>IF(tblbuyers[[#This Row],[Income]]&lt;30000,"Low",IF(tblbuyers[[#This Row],[Income]]&lt;=70000,"Medium","High"))</f>
        <v>High</v>
      </c>
      <c r="R156" s="7" t="str">
        <f>IF(OR(LOWER(TRIM(tblbuyers[[#This Row],[Purchased Bike]]))="yes",LOWER(TRIM(tblbuyers[[#This Row],[Purchased Bike]]))="y"),"Yes","No")</f>
        <v>No</v>
      </c>
    </row>
    <row r="157" spans="1:18"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c r="O157">
        <f>COUNTBLANK(tblbuyers[Income])</f>
        <v>0</v>
      </c>
      <c r="P157" t="str">
        <f>IF(tblbuyers[[#This Row],[Age]]&lt;30,"&lt;30",IF(tblbuyers[[#This Row],[Age]]&lt;=45,"30-45",IF(tblbuyers[[#This Row],[Age]]&lt;=60,"46-60","60+")))</f>
        <v>30-45</v>
      </c>
      <c r="Q157" t="str">
        <f>IF(tblbuyers[[#This Row],[Income]]&lt;30000,"Low",IF(tblbuyers[[#This Row],[Income]]&lt;=70000,"Medium","High"))</f>
        <v>Low</v>
      </c>
      <c r="R157" s="7" t="str">
        <f>IF(OR(LOWER(TRIM(tblbuyers[[#This Row],[Purchased Bike]]))="yes",LOWER(TRIM(tblbuyers[[#This Row],[Purchased Bike]]))="y"),"Yes","No")</f>
        <v>Yes</v>
      </c>
    </row>
    <row r="158" spans="1:18"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c r="O158">
        <f>COUNTBLANK(tblbuyers[Income])</f>
        <v>0</v>
      </c>
      <c r="P158" t="str">
        <f>IF(tblbuyers[[#This Row],[Age]]&lt;30,"&lt;30",IF(tblbuyers[[#This Row],[Age]]&lt;=45,"30-45",IF(tblbuyers[[#This Row],[Age]]&lt;=60,"46-60","60+")))</f>
        <v>46-60</v>
      </c>
      <c r="Q158" t="str">
        <f>IF(tblbuyers[[#This Row],[Income]]&lt;30000,"Low",IF(tblbuyers[[#This Row],[Income]]&lt;=70000,"Medium","High"))</f>
        <v>High</v>
      </c>
      <c r="R158" s="7" t="str">
        <f>IF(OR(LOWER(TRIM(tblbuyers[[#This Row],[Purchased Bike]]))="yes",LOWER(TRIM(tblbuyers[[#This Row],[Purchased Bike]]))="y"),"Yes","No")</f>
        <v>No</v>
      </c>
    </row>
    <row r="159" spans="1:18"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c r="O159">
        <f>COUNTBLANK(tblbuyers[Income])</f>
        <v>0</v>
      </c>
      <c r="P159" t="str">
        <f>IF(tblbuyers[[#This Row],[Age]]&lt;30,"&lt;30",IF(tblbuyers[[#This Row],[Age]]&lt;=45,"30-45",IF(tblbuyers[[#This Row],[Age]]&lt;=60,"46-60","60+")))</f>
        <v>46-60</v>
      </c>
      <c r="Q159" t="str">
        <f>IF(tblbuyers[[#This Row],[Income]]&lt;30000,"Low",IF(tblbuyers[[#This Row],[Income]]&lt;=70000,"Medium","High"))</f>
        <v>Low</v>
      </c>
      <c r="R159" s="7" t="str">
        <f>IF(OR(LOWER(TRIM(tblbuyers[[#This Row],[Purchased Bike]]))="yes",LOWER(TRIM(tblbuyers[[#This Row],[Purchased Bike]]))="y"),"Yes","No")</f>
        <v>No</v>
      </c>
    </row>
    <row r="160" spans="1:18"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c r="O160">
        <f>COUNTBLANK(tblbuyers[Income])</f>
        <v>0</v>
      </c>
      <c r="P160" t="str">
        <f>IF(tblbuyers[[#This Row],[Age]]&lt;30,"&lt;30",IF(tblbuyers[[#This Row],[Age]]&lt;=45,"30-45",IF(tblbuyers[[#This Row],[Age]]&lt;=60,"46-60","60+")))</f>
        <v>46-60</v>
      </c>
      <c r="Q160" t="str">
        <f>IF(tblbuyers[[#This Row],[Income]]&lt;30000,"Low",IF(tblbuyers[[#This Row],[Income]]&lt;=70000,"Medium","High"))</f>
        <v>Low</v>
      </c>
      <c r="R160" s="7" t="str">
        <f>IF(OR(LOWER(TRIM(tblbuyers[[#This Row],[Purchased Bike]]))="yes",LOWER(TRIM(tblbuyers[[#This Row],[Purchased Bike]]))="y"),"Yes","No")</f>
        <v>Yes</v>
      </c>
    </row>
    <row r="161" spans="1:18"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c r="O161">
        <f>COUNTBLANK(tblbuyers[Income])</f>
        <v>0</v>
      </c>
      <c r="P161" t="str">
        <f>IF(tblbuyers[[#This Row],[Age]]&lt;30,"&lt;30",IF(tblbuyers[[#This Row],[Age]]&lt;=45,"30-45",IF(tblbuyers[[#This Row],[Age]]&lt;=60,"46-60","60+")))</f>
        <v>46-60</v>
      </c>
      <c r="Q161" t="str">
        <f>IF(tblbuyers[[#This Row],[Income]]&lt;30000,"Low",IF(tblbuyers[[#This Row],[Income]]&lt;=70000,"Medium","High"))</f>
        <v>Low</v>
      </c>
      <c r="R161" s="7" t="str">
        <f>IF(OR(LOWER(TRIM(tblbuyers[[#This Row],[Purchased Bike]]))="yes",LOWER(TRIM(tblbuyers[[#This Row],[Purchased Bike]]))="y"),"Yes","No")</f>
        <v>No</v>
      </c>
    </row>
    <row r="162" spans="1:18"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c r="O162">
        <f>COUNTBLANK(tblbuyers[Income])</f>
        <v>0</v>
      </c>
      <c r="P162" t="str">
        <f>IF(tblbuyers[[#This Row],[Age]]&lt;30,"&lt;30",IF(tblbuyers[[#This Row],[Age]]&lt;=45,"30-45",IF(tblbuyers[[#This Row],[Age]]&lt;=60,"46-60","60+")))</f>
        <v>30-45</v>
      </c>
      <c r="Q162" t="str">
        <f>IF(tblbuyers[[#This Row],[Income]]&lt;30000,"Low",IF(tblbuyers[[#This Row],[Income]]&lt;=70000,"Medium","High"))</f>
        <v>Medium</v>
      </c>
      <c r="R162" s="7" t="str">
        <f>IF(OR(LOWER(TRIM(tblbuyers[[#This Row],[Purchased Bike]]))="yes",LOWER(TRIM(tblbuyers[[#This Row],[Purchased Bike]]))="y"),"Yes","No")</f>
        <v>Yes</v>
      </c>
    </row>
    <row r="163" spans="1:18"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c r="O163">
        <f>COUNTBLANK(tblbuyers[Income])</f>
        <v>0</v>
      </c>
      <c r="P163" t="str">
        <f>IF(tblbuyers[[#This Row],[Age]]&lt;30,"&lt;30",IF(tblbuyers[[#This Row],[Age]]&lt;=45,"30-45",IF(tblbuyers[[#This Row],[Age]]&lt;=60,"46-60","60+")))</f>
        <v>30-45</v>
      </c>
      <c r="Q163" t="str">
        <f>IF(tblbuyers[[#This Row],[Income]]&lt;30000,"Low",IF(tblbuyers[[#This Row],[Income]]&lt;=70000,"Medium","High"))</f>
        <v>Low</v>
      </c>
      <c r="R163" s="7" t="str">
        <f>IF(OR(LOWER(TRIM(tblbuyers[[#This Row],[Purchased Bike]]))="yes",LOWER(TRIM(tblbuyers[[#This Row],[Purchased Bike]]))="y"),"Yes","No")</f>
        <v>Yes</v>
      </c>
    </row>
    <row r="164" spans="1:18"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c r="O164">
        <f>COUNTBLANK(tblbuyers[Income])</f>
        <v>0</v>
      </c>
      <c r="P164" t="str">
        <f>IF(tblbuyers[[#This Row],[Age]]&lt;30,"&lt;30",IF(tblbuyers[[#This Row],[Age]]&lt;=45,"30-45",IF(tblbuyers[[#This Row],[Age]]&lt;=60,"46-60","60+")))</f>
        <v>30-45</v>
      </c>
      <c r="Q164" t="str">
        <f>IF(tblbuyers[[#This Row],[Income]]&lt;30000,"Low",IF(tblbuyers[[#This Row],[Income]]&lt;=70000,"Medium","High"))</f>
        <v>Medium</v>
      </c>
      <c r="R164" s="7" t="str">
        <f>IF(OR(LOWER(TRIM(tblbuyers[[#This Row],[Purchased Bike]]))="yes",LOWER(TRIM(tblbuyers[[#This Row],[Purchased Bike]]))="y"),"Yes","No")</f>
        <v>Yes</v>
      </c>
    </row>
    <row r="165" spans="1:18"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c r="O165">
        <f>COUNTBLANK(tblbuyers[Income])</f>
        <v>0</v>
      </c>
      <c r="P165" t="str">
        <f>IF(tblbuyers[[#This Row],[Age]]&lt;30,"&lt;30",IF(tblbuyers[[#This Row],[Age]]&lt;=45,"30-45",IF(tblbuyers[[#This Row],[Age]]&lt;=60,"46-60","60+")))</f>
        <v>46-60</v>
      </c>
      <c r="Q165" t="str">
        <f>IF(tblbuyers[[#This Row],[Income]]&lt;30000,"Low",IF(tblbuyers[[#This Row],[Income]]&lt;=70000,"Medium","High"))</f>
        <v>Medium</v>
      </c>
      <c r="R165" s="7" t="str">
        <f>IF(OR(LOWER(TRIM(tblbuyers[[#This Row],[Purchased Bike]]))="yes",LOWER(TRIM(tblbuyers[[#This Row],[Purchased Bike]]))="y"),"Yes","No")</f>
        <v>No</v>
      </c>
    </row>
    <row r="166" spans="1:18"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c r="O166">
        <f>COUNTBLANK(tblbuyers[Income])</f>
        <v>0</v>
      </c>
      <c r="P166" t="str">
        <f>IF(tblbuyers[[#This Row],[Age]]&lt;30,"&lt;30",IF(tblbuyers[[#This Row],[Age]]&lt;=45,"30-45",IF(tblbuyers[[#This Row],[Age]]&lt;=60,"46-60","60+")))</f>
        <v>&lt;30</v>
      </c>
      <c r="Q166" t="str">
        <f>IF(tblbuyers[[#This Row],[Income]]&lt;30000,"Low",IF(tblbuyers[[#This Row],[Income]]&lt;=70000,"Medium","High"))</f>
        <v>Low</v>
      </c>
      <c r="R166" s="7" t="str">
        <f>IF(OR(LOWER(TRIM(tblbuyers[[#This Row],[Purchased Bike]]))="yes",LOWER(TRIM(tblbuyers[[#This Row],[Purchased Bike]]))="y"),"Yes","No")</f>
        <v>Yes</v>
      </c>
    </row>
    <row r="167" spans="1:18"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c r="O167">
        <f>COUNTBLANK(tblbuyers[Income])</f>
        <v>0</v>
      </c>
      <c r="P167" t="str">
        <f>IF(tblbuyers[[#This Row],[Age]]&lt;30,"&lt;30",IF(tblbuyers[[#This Row],[Age]]&lt;=45,"30-45",IF(tblbuyers[[#This Row],[Age]]&lt;=60,"46-60","60+")))</f>
        <v>&lt;30</v>
      </c>
      <c r="Q167" t="str">
        <f>IF(tblbuyers[[#This Row],[Income]]&lt;30000,"Low",IF(tblbuyers[[#This Row],[Income]]&lt;=70000,"Medium","High"))</f>
        <v>Low</v>
      </c>
      <c r="R167" s="7" t="str">
        <f>IF(OR(LOWER(TRIM(tblbuyers[[#This Row],[Purchased Bike]]))="yes",LOWER(TRIM(tblbuyers[[#This Row],[Purchased Bike]]))="y"),"Yes","No")</f>
        <v>No</v>
      </c>
    </row>
    <row r="168" spans="1:18"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c r="O168">
        <f>COUNTBLANK(tblbuyers[Income])</f>
        <v>0</v>
      </c>
      <c r="P168" t="str">
        <f>IF(tblbuyers[[#This Row],[Age]]&lt;30,"&lt;30",IF(tblbuyers[[#This Row],[Age]]&lt;=45,"30-45",IF(tblbuyers[[#This Row],[Age]]&lt;=60,"46-60","60+")))</f>
        <v>46-60</v>
      </c>
      <c r="Q168" t="str">
        <f>IF(tblbuyers[[#This Row],[Income]]&lt;30000,"Low",IF(tblbuyers[[#This Row],[Income]]&lt;=70000,"Medium","High"))</f>
        <v>High</v>
      </c>
      <c r="R168" s="7" t="str">
        <f>IF(OR(LOWER(TRIM(tblbuyers[[#This Row],[Purchased Bike]]))="yes",LOWER(TRIM(tblbuyers[[#This Row],[Purchased Bike]]))="y"),"Yes","No")</f>
        <v>Yes</v>
      </c>
    </row>
    <row r="169" spans="1:18" x14ac:dyDescent="0.25">
      <c r="A169">
        <v>14233</v>
      </c>
      <c r="B169" t="s">
        <v>37</v>
      </c>
      <c r="C169" t="s">
        <v>39</v>
      </c>
      <c r="D169" s="3">
        <v>100000</v>
      </c>
      <c r="E169">
        <v>0</v>
      </c>
      <c r="F169" t="s">
        <v>27</v>
      </c>
      <c r="G169" t="s">
        <v>28</v>
      </c>
      <c r="H169" t="s">
        <v>15</v>
      </c>
      <c r="I169">
        <v>3</v>
      </c>
      <c r="J169" t="s">
        <v>30</v>
      </c>
      <c r="K169" t="s">
        <v>24</v>
      </c>
      <c r="L169">
        <v>35</v>
      </c>
      <c r="M169" t="str">
        <f t="shared" si="2"/>
        <v>Middle Age</v>
      </c>
      <c r="N169" t="s">
        <v>18</v>
      </c>
      <c r="O169">
        <f>COUNTBLANK(tblbuyers[Income])</f>
        <v>0</v>
      </c>
      <c r="P169" t="str">
        <f>IF(tblbuyers[[#This Row],[Age]]&lt;30,"&lt;30",IF(tblbuyers[[#This Row],[Age]]&lt;=45,"30-45",IF(tblbuyers[[#This Row],[Age]]&lt;=60,"46-60","60+")))</f>
        <v>30-45</v>
      </c>
      <c r="Q169" t="str">
        <f>IF(tblbuyers[[#This Row],[Income]]&lt;30000,"Low",IF(tblbuyers[[#This Row],[Income]]&lt;=70000,"Medium","High"))</f>
        <v>High</v>
      </c>
      <c r="R169" s="7" t="str">
        <f>IF(OR(LOWER(TRIM(tblbuyers[[#This Row],[Purchased Bike]]))="yes",LOWER(TRIM(tblbuyers[[#This Row],[Purchased Bike]]))="y"),"Yes","No")</f>
        <v>No</v>
      </c>
    </row>
    <row r="170" spans="1:18"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c r="O170">
        <f>COUNTBLANK(tblbuyers[Income])</f>
        <v>0</v>
      </c>
      <c r="P170" t="str">
        <f>IF(tblbuyers[[#This Row],[Age]]&lt;30,"&lt;30",IF(tblbuyers[[#This Row],[Age]]&lt;=45,"30-45",IF(tblbuyers[[#This Row],[Age]]&lt;=60,"46-60","60+")))</f>
        <v>30-45</v>
      </c>
      <c r="Q170" t="str">
        <f>IF(tblbuyers[[#This Row],[Income]]&lt;30000,"Low",IF(tblbuyers[[#This Row],[Income]]&lt;=70000,"Medium","High"))</f>
        <v>Medium</v>
      </c>
      <c r="R170" s="7" t="str">
        <f>IF(OR(LOWER(TRIM(tblbuyers[[#This Row],[Purchased Bike]]))="yes",LOWER(TRIM(tblbuyers[[#This Row],[Purchased Bike]]))="y"),"Yes","No")</f>
        <v>Yes</v>
      </c>
    </row>
    <row r="171" spans="1:18"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c r="O171">
        <f>COUNTBLANK(tblbuyers[Income])</f>
        <v>0</v>
      </c>
      <c r="P171" t="str">
        <f>IF(tblbuyers[[#This Row],[Age]]&lt;30,"&lt;30",IF(tblbuyers[[#This Row],[Age]]&lt;=45,"30-45",IF(tblbuyers[[#This Row],[Age]]&lt;=60,"46-60","60+")))</f>
        <v>46-60</v>
      </c>
      <c r="Q171" t="str">
        <f>IF(tblbuyers[[#This Row],[Income]]&lt;30000,"Low",IF(tblbuyers[[#This Row],[Income]]&lt;=70000,"Medium","High"))</f>
        <v>Medium</v>
      </c>
      <c r="R171" s="7" t="str">
        <f>IF(OR(LOWER(TRIM(tblbuyers[[#This Row],[Purchased Bike]]))="yes",LOWER(TRIM(tblbuyers[[#This Row],[Purchased Bike]]))="y"),"Yes","No")</f>
        <v>No</v>
      </c>
    </row>
    <row r="172" spans="1:18"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c r="O172">
        <f>COUNTBLANK(tblbuyers[Income])</f>
        <v>0</v>
      </c>
      <c r="P172" t="str">
        <f>IF(tblbuyers[[#This Row],[Age]]&lt;30,"&lt;30",IF(tblbuyers[[#This Row],[Age]]&lt;=45,"30-45",IF(tblbuyers[[#This Row],[Age]]&lt;=60,"46-60","60+")))</f>
        <v>60+</v>
      </c>
      <c r="Q172" t="str">
        <f>IF(tblbuyers[[#This Row],[Income]]&lt;30000,"Low",IF(tblbuyers[[#This Row],[Income]]&lt;=70000,"Medium","High"))</f>
        <v>High</v>
      </c>
      <c r="R172" s="7" t="str">
        <f>IF(OR(LOWER(TRIM(tblbuyers[[#This Row],[Purchased Bike]]))="yes",LOWER(TRIM(tblbuyers[[#This Row],[Purchased Bike]]))="y"),"Yes","No")</f>
        <v>Yes</v>
      </c>
    </row>
    <row r="173" spans="1:18"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c r="O173">
        <f>COUNTBLANK(tblbuyers[Income])</f>
        <v>0</v>
      </c>
      <c r="P173" t="str">
        <f>IF(tblbuyers[[#This Row],[Age]]&lt;30,"&lt;30",IF(tblbuyers[[#This Row],[Age]]&lt;=45,"30-45",IF(tblbuyers[[#This Row],[Age]]&lt;=60,"46-60","60+")))</f>
        <v>60+</v>
      </c>
      <c r="Q173" t="str">
        <f>IF(tblbuyers[[#This Row],[Income]]&lt;30000,"Low",IF(tblbuyers[[#This Row],[Income]]&lt;=70000,"Medium","High"))</f>
        <v>High</v>
      </c>
      <c r="R173" s="7" t="str">
        <f>IF(OR(LOWER(TRIM(tblbuyers[[#This Row],[Purchased Bike]]))="yes",LOWER(TRIM(tblbuyers[[#This Row],[Purchased Bike]]))="y"),"Yes","No")</f>
        <v>No</v>
      </c>
    </row>
    <row r="174" spans="1:18"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c r="O174">
        <f>COUNTBLANK(tblbuyers[Income])</f>
        <v>0</v>
      </c>
      <c r="P174" t="str">
        <f>IF(tblbuyers[[#This Row],[Age]]&lt;30,"&lt;30",IF(tblbuyers[[#This Row],[Age]]&lt;=45,"30-45",IF(tblbuyers[[#This Row],[Age]]&lt;=60,"46-60","60+")))</f>
        <v>30-45</v>
      </c>
      <c r="Q174" t="str">
        <f>IF(tblbuyers[[#This Row],[Income]]&lt;30000,"Low",IF(tblbuyers[[#This Row],[Income]]&lt;=70000,"Medium","High"))</f>
        <v>Low</v>
      </c>
      <c r="R174" s="7" t="str">
        <f>IF(OR(LOWER(TRIM(tblbuyers[[#This Row],[Purchased Bike]]))="yes",LOWER(TRIM(tblbuyers[[#This Row],[Purchased Bike]]))="y"),"Yes","No")</f>
        <v>No</v>
      </c>
    </row>
    <row r="175" spans="1:18"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c r="O175">
        <f>COUNTBLANK(tblbuyers[Income])</f>
        <v>0</v>
      </c>
      <c r="P175" t="str">
        <f>IF(tblbuyers[[#This Row],[Age]]&lt;30,"&lt;30",IF(tblbuyers[[#This Row],[Age]]&lt;=45,"30-45",IF(tblbuyers[[#This Row],[Age]]&lt;=60,"46-60","60+")))</f>
        <v>&lt;30</v>
      </c>
      <c r="Q175" t="str">
        <f>IF(tblbuyers[[#This Row],[Income]]&lt;30000,"Low",IF(tblbuyers[[#This Row],[Income]]&lt;=70000,"Medium","High"))</f>
        <v>Low</v>
      </c>
      <c r="R175" s="7" t="str">
        <f>IF(OR(LOWER(TRIM(tblbuyers[[#This Row],[Purchased Bike]]))="yes",LOWER(TRIM(tblbuyers[[#This Row],[Purchased Bike]]))="y"),"Yes","No")</f>
        <v>No</v>
      </c>
    </row>
    <row r="176" spans="1:18"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c r="O176">
        <f>COUNTBLANK(tblbuyers[Income])</f>
        <v>0</v>
      </c>
      <c r="P176" t="str">
        <f>IF(tblbuyers[[#This Row],[Age]]&lt;30,"&lt;30",IF(tblbuyers[[#This Row],[Age]]&lt;=45,"30-45",IF(tblbuyers[[#This Row],[Age]]&lt;=60,"46-60","60+")))</f>
        <v>30-45</v>
      </c>
      <c r="Q176" t="str">
        <f>IF(tblbuyers[[#This Row],[Income]]&lt;30000,"Low",IF(tblbuyers[[#This Row],[Income]]&lt;=70000,"Medium","High"))</f>
        <v>Medium</v>
      </c>
      <c r="R176" s="7" t="str">
        <f>IF(OR(LOWER(TRIM(tblbuyers[[#This Row],[Purchased Bike]]))="yes",LOWER(TRIM(tblbuyers[[#This Row],[Purchased Bike]]))="y"),"Yes","No")</f>
        <v>Yes</v>
      </c>
    </row>
    <row r="177" spans="1:18"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c r="O177">
        <f>COUNTBLANK(tblbuyers[Income])</f>
        <v>0</v>
      </c>
      <c r="P177" t="str">
        <f>IF(tblbuyers[[#This Row],[Age]]&lt;30,"&lt;30",IF(tblbuyers[[#This Row],[Age]]&lt;=45,"30-45",IF(tblbuyers[[#This Row],[Age]]&lt;=60,"46-60","60+")))</f>
        <v>46-60</v>
      </c>
      <c r="Q177" t="str">
        <f>IF(tblbuyers[[#This Row],[Income]]&lt;30000,"Low",IF(tblbuyers[[#This Row],[Income]]&lt;=70000,"Medium","High"))</f>
        <v>High</v>
      </c>
      <c r="R177" s="7" t="str">
        <f>IF(OR(LOWER(TRIM(tblbuyers[[#This Row],[Purchased Bike]]))="yes",LOWER(TRIM(tblbuyers[[#This Row],[Purchased Bike]]))="y"),"Yes","No")</f>
        <v>Yes</v>
      </c>
    </row>
    <row r="178" spans="1:18"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c r="O178">
        <f>COUNTBLANK(tblbuyers[Income])</f>
        <v>0</v>
      </c>
      <c r="P178" t="str">
        <f>IF(tblbuyers[[#This Row],[Age]]&lt;30,"&lt;30",IF(tblbuyers[[#This Row],[Age]]&lt;=45,"30-45",IF(tblbuyers[[#This Row],[Age]]&lt;=60,"46-60","60+")))</f>
        <v>&lt;30</v>
      </c>
      <c r="Q178" t="str">
        <f>IF(tblbuyers[[#This Row],[Income]]&lt;30000,"Low",IF(tblbuyers[[#This Row],[Income]]&lt;=70000,"Medium","High"))</f>
        <v>Low</v>
      </c>
      <c r="R178" s="7" t="str">
        <f>IF(OR(LOWER(TRIM(tblbuyers[[#This Row],[Purchased Bike]]))="yes",LOWER(TRIM(tblbuyers[[#This Row],[Purchased Bike]]))="y"),"Yes","No")</f>
        <v>Yes</v>
      </c>
    </row>
    <row r="179" spans="1:18"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c r="O179">
        <f>COUNTBLANK(tblbuyers[Income])</f>
        <v>0</v>
      </c>
      <c r="P179" t="str">
        <f>IF(tblbuyers[[#This Row],[Age]]&lt;30,"&lt;30",IF(tblbuyers[[#This Row],[Age]]&lt;=45,"30-45",IF(tblbuyers[[#This Row],[Age]]&lt;=60,"46-60","60+")))</f>
        <v>46-60</v>
      </c>
      <c r="Q179" t="str">
        <f>IF(tblbuyers[[#This Row],[Income]]&lt;30000,"Low",IF(tblbuyers[[#This Row],[Income]]&lt;=70000,"Medium","High"))</f>
        <v>High</v>
      </c>
      <c r="R179" s="7" t="str">
        <f>IF(OR(LOWER(TRIM(tblbuyers[[#This Row],[Purchased Bike]]))="yes",LOWER(TRIM(tblbuyers[[#This Row],[Purchased Bike]]))="y"),"Yes","No")</f>
        <v>No</v>
      </c>
    </row>
    <row r="180" spans="1:18"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c r="O180">
        <f>COUNTBLANK(tblbuyers[Income])</f>
        <v>0</v>
      </c>
      <c r="P180" t="str">
        <f>IF(tblbuyers[[#This Row],[Age]]&lt;30,"&lt;30",IF(tblbuyers[[#This Row],[Age]]&lt;=45,"30-45",IF(tblbuyers[[#This Row],[Age]]&lt;=60,"46-60","60+")))</f>
        <v>46-60</v>
      </c>
      <c r="Q180" t="str">
        <f>IF(tblbuyers[[#This Row],[Income]]&lt;30000,"Low",IF(tblbuyers[[#This Row],[Income]]&lt;=70000,"Medium","High"))</f>
        <v>High</v>
      </c>
      <c r="R180" s="7" t="str">
        <f>IF(OR(LOWER(TRIM(tblbuyers[[#This Row],[Purchased Bike]]))="yes",LOWER(TRIM(tblbuyers[[#This Row],[Purchased Bike]]))="y"),"Yes","No")</f>
        <v>Yes</v>
      </c>
    </row>
    <row r="181" spans="1:18"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c r="O181">
        <f>COUNTBLANK(tblbuyers[Income])</f>
        <v>0</v>
      </c>
      <c r="P181" t="str">
        <f>IF(tblbuyers[[#This Row],[Age]]&lt;30,"&lt;30",IF(tblbuyers[[#This Row],[Age]]&lt;=45,"30-45",IF(tblbuyers[[#This Row],[Age]]&lt;=60,"46-60","60+")))</f>
        <v>30-45</v>
      </c>
      <c r="Q181" t="str">
        <f>IF(tblbuyers[[#This Row],[Income]]&lt;30000,"Low",IF(tblbuyers[[#This Row],[Income]]&lt;=70000,"Medium","High"))</f>
        <v>Low</v>
      </c>
      <c r="R181" s="7" t="str">
        <f>IF(OR(LOWER(TRIM(tblbuyers[[#This Row],[Purchased Bike]]))="yes",LOWER(TRIM(tblbuyers[[#This Row],[Purchased Bike]]))="y"),"Yes","No")</f>
        <v>Yes</v>
      </c>
    </row>
    <row r="182" spans="1:18"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c r="O182">
        <f>COUNTBLANK(tblbuyers[Income])</f>
        <v>0</v>
      </c>
      <c r="P182" t="str">
        <f>IF(tblbuyers[[#This Row],[Age]]&lt;30,"&lt;30",IF(tblbuyers[[#This Row],[Age]]&lt;=45,"30-45",IF(tblbuyers[[#This Row],[Age]]&lt;=60,"46-60","60+")))</f>
        <v>30-45</v>
      </c>
      <c r="Q182" t="str">
        <f>IF(tblbuyers[[#This Row],[Income]]&lt;30000,"Low",IF(tblbuyers[[#This Row],[Income]]&lt;=70000,"Medium","High"))</f>
        <v>Low</v>
      </c>
      <c r="R182" s="7" t="str">
        <f>IF(OR(LOWER(TRIM(tblbuyers[[#This Row],[Purchased Bike]]))="yes",LOWER(TRIM(tblbuyers[[#This Row],[Purchased Bike]]))="y"),"Yes","No")</f>
        <v>No</v>
      </c>
    </row>
    <row r="183" spans="1:18"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c r="O183">
        <f>COUNTBLANK(tblbuyers[Income])</f>
        <v>0</v>
      </c>
      <c r="P183" t="str">
        <f>IF(tblbuyers[[#This Row],[Age]]&lt;30,"&lt;30",IF(tblbuyers[[#This Row],[Age]]&lt;=45,"30-45",IF(tblbuyers[[#This Row],[Age]]&lt;=60,"46-60","60+")))</f>
        <v>46-60</v>
      </c>
      <c r="Q183" t="str">
        <f>IF(tblbuyers[[#This Row],[Income]]&lt;30000,"Low",IF(tblbuyers[[#This Row],[Income]]&lt;=70000,"Medium","High"))</f>
        <v>Medium</v>
      </c>
      <c r="R183" s="7" t="str">
        <f>IF(OR(LOWER(TRIM(tblbuyers[[#This Row],[Purchased Bike]]))="yes",LOWER(TRIM(tblbuyers[[#This Row],[Purchased Bike]]))="y"),"Yes","No")</f>
        <v>Yes</v>
      </c>
    </row>
    <row r="184" spans="1:18"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c r="O184">
        <f>COUNTBLANK(tblbuyers[Income])</f>
        <v>0</v>
      </c>
      <c r="P184" t="str">
        <f>IF(tblbuyers[[#This Row],[Age]]&lt;30,"&lt;30",IF(tblbuyers[[#This Row],[Age]]&lt;=45,"30-45",IF(tblbuyers[[#This Row],[Age]]&lt;=60,"46-60","60+")))</f>
        <v>30-45</v>
      </c>
      <c r="Q184" t="str">
        <f>IF(tblbuyers[[#This Row],[Income]]&lt;30000,"Low",IF(tblbuyers[[#This Row],[Income]]&lt;=70000,"Medium","High"))</f>
        <v>Low</v>
      </c>
      <c r="R184" s="7" t="str">
        <f>IF(OR(LOWER(TRIM(tblbuyers[[#This Row],[Purchased Bike]]))="yes",LOWER(TRIM(tblbuyers[[#This Row],[Purchased Bike]]))="y"),"Yes","No")</f>
        <v>No</v>
      </c>
    </row>
    <row r="185" spans="1:18"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c r="O185">
        <f>COUNTBLANK(tblbuyers[Income])</f>
        <v>0</v>
      </c>
      <c r="P185" t="str">
        <f>IF(tblbuyers[[#This Row],[Age]]&lt;30,"&lt;30",IF(tblbuyers[[#This Row],[Age]]&lt;=45,"30-45",IF(tblbuyers[[#This Row],[Age]]&lt;=60,"46-60","60+")))</f>
        <v>60+</v>
      </c>
      <c r="Q185" t="str">
        <f>IF(tblbuyers[[#This Row],[Income]]&lt;30000,"Low",IF(tblbuyers[[#This Row],[Income]]&lt;=70000,"Medium","High"))</f>
        <v>Medium</v>
      </c>
      <c r="R185" s="7" t="str">
        <f>IF(OR(LOWER(TRIM(tblbuyers[[#This Row],[Purchased Bike]]))="yes",LOWER(TRIM(tblbuyers[[#This Row],[Purchased Bike]]))="y"),"Yes","No")</f>
        <v>Yes</v>
      </c>
    </row>
    <row r="186" spans="1:18"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c r="O186">
        <f>COUNTBLANK(tblbuyers[Income])</f>
        <v>0</v>
      </c>
      <c r="P186" t="str">
        <f>IF(tblbuyers[[#This Row],[Age]]&lt;30,"&lt;30",IF(tblbuyers[[#This Row],[Age]]&lt;=45,"30-45",IF(tblbuyers[[#This Row],[Age]]&lt;=60,"46-60","60+")))</f>
        <v>46-60</v>
      </c>
      <c r="Q186" t="str">
        <f>IF(tblbuyers[[#This Row],[Income]]&lt;30000,"Low",IF(tblbuyers[[#This Row],[Income]]&lt;=70000,"Medium","High"))</f>
        <v>High</v>
      </c>
      <c r="R186" s="7" t="str">
        <f>IF(OR(LOWER(TRIM(tblbuyers[[#This Row],[Purchased Bike]]))="yes",LOWER(TRIM(tblbuyers[[#This Row],[Purchased Bike]]))="y"),"Yes","No")</f>
        <v>No</v>
      </c>
    </row>
    <row r="187" spans="1:18"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c r="O187">
        <f>COUNTBLANK(tblbuyers[Income])</f>
        <v>0</v>
      </c>
      <c r="P187" t="str">
        <f>IF(tblbuyers[[#This Row],[Age]]&lt;30,"&lt;30",IF(tblbuyers[[#This Row],[Age]]&lt;=45,"30-45",IF(tblbuyers[[#This Row],[Age]]&lt;=60,"46-60","60+")))</f>
        <v>46-60</v>
      </c>
      <c r="Q187" t="str">
        <f>IF(tblbuyers[[#This Row],[Income]]&lt;30000,"Low",IF(tblbuyers[[#This Row],[Income]]&lt;=70000,"Medium","High"))</f>
        <v>High</v>
      </c>
      <c r="R187" s="7" t="str">
        <f>IF(OR(LOWER(TRIM(tblbuyers[[#This Row],[Purchased Bike]]))="yes",LOWER(TRIM(tblbuyers[[#This Row],[Purchased Bike]]))="y"),"Yes","No")</f>
        <v>Yes</v>
      </c>
    </row>
    <row r="188" spans="1:18"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c r="O188">
        <f>COUNTBLANK(tblbuyers[Income])</f>
        <v>0</v>
      </c>
      <c r="P188" t="str">
        <f>IF(tblbuyers[[#This Row],[Age]]&lt;30,"&lt;30",IF(tblbuyers[[#This Row],[Age]]&lt;=45,"30-45",IF(tblbuyers[[#This Row],[Age]]&lt;=60,"46-60","60+")))</f>
        <v>46-60</v>
      </c>
      <c r="Q188" t="str">
        <f>IF(tblbuyers[[#This Row],[Income]]&lt;30000,"Low",IF(tblbuyers[[#This Row],[Income]]&lt;=70000,"Medium","High"))</f>
        <v>Medium</v>
      </c>
      <c r="R188" s="7" t="str">
        <f>IF(OR(LOWER(TRIM(tblbuyers[[#This Row],[Purchased Bike]]))="yes",LOWER(TRIM(tblbuyers[[#This Row],[Purchased Bike]]))="y"),"Yes","No")</f>
        <v>Yes</v>
      </c>
    </row>
    <row r="189" spans="1:18"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c r="O189">
        <f>COUNTBLANK(tblbuyers[Income])</f>
        <v>0</v>
      </c>
      <c r="P189" t="str">
        <f>IF(tblbuyers[[#This Row],[Age]]&lt;30,"&lt;30",IF(tblbuyers[[#This Row],[Age]]&lt;=45,"30-45",IF(tblbuyers[[#This Row],[Age]]&lt;=60,"46-60","60+")))</f>
        <v>46-60</v>
      </c>
      <c r="Q189" t="str">
        <f>IF(tblbuyers[[#This Row],[Income]]&lt;30000,"Low",IF(tblbuyers[[#This Row],[Income]]&lt;=70000,"Medium","High"))</f>
        <v>High</v>
      </c>
      <c r="R189" s="7" t="str">
        <f>IF(OR(LOWER(TRIM(tblbuyers[[#This Row],[Purchased Bike]]))="yes",LOWER(TRIM(tblbuyers[[#This Row],[Purchased Bike]]))="y"),"Yes","No")</f>
        <v>No</v>
      </c>
    </row>
    <row r="190" spans="1:18" x14ac:dyDescent="0.25">
      <c r="A190">
        <v>20606</v>
      </c>
      <c r="B190" t="s">
        <v>36</v>
      </c>
      <c r="C190" t="s">
        <v>38</v>
      </c>
      <c r="D190" s="3">
        <v>70000</v>
      </c>
      <c r="E190">
        <v>0</v>
      </c>
      <c r="F190" t="s">
        <v>13</v>
      </c>
      <c r="G190" t="s">
        <v>21</v>
      </c>
      <c r="H190" t="s">
        <v>15</v>
      </c>
      <c r="I190">
        <v>4</v>
      </c>
      <c r="J190" t="s">
        <v>30</v>
      </c>
      <c r="K190" t="s">
        <v>24</v>
      </c>
      <c r="L190">
        <v>32</v>
      </c>
      <c r="M190" t="str">
        <f t="shared" si="2"/>
        <v>Middle Age</v>
      </c>
      <c r="N190" t="s">
        <v>15</v>
      </c>
      <c r="O190">
        <f>COUNTBLANK(tblbuyers[Income])</f>
        <v>0</v>
      </c>
      <c r="P190" t="str">
        <f>IF(tblbuyers[[#This Row],[Age]]&lt;30,"&lt;30",IF(tblbuyers[[#This Row],[Age]]&lt;=45,"30-45",IF(tblbuyers[[#This Row],[Age]]&lt;=60,"46-60","60+")))</f>
        <v>30-45</v>
      </c>
      <c r="Q190" t="str">
        <f>IF(tblbuyers[[#This Row],[Income]]&lt;30000,"Low",IF(tblbuyers[[#This Row],[Income]]&lt;=70000,"Medium","High"))</f>
        <v>Medium</v>
      </c>
      <c r="R190" s="7" t="str">
        <f>IF(OR(LOWER(TRIM(tblbuyers[[#This Row],[Purchased Bike]]))="yes",LOWER(TRIM(tblbuyers[[#This Row],[Purchased Bike]]))="y"),"Yes","No")</f>
        <v>Yes</v>
      </c>
    </row>
    <row r="191" spans="1:18"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c r="O191">
        <f>COUNTBLANK(tblbuyers[Income])</f>
        <v>0</v>
      </c>
      <c r="P191" t="str">
        <f>IF(tblbuyers[[#This Row],[Age]]&lt;30,"&lt;30",IF(tblbuyers[[#This Row],[Age]]&lt;=45,"30-45",IF(tblbuyers[[#This Row],[Age]]&lt;=60,"46-60","60+")))</f>
        <v>30-45</v>
      </c>
      <c r="Q191" t="str">
        <f>IF(tblbuyers[[#This Row],[Income]]&lt;30000,"Low",IF(tblbuyers[[#This Row],[Income]]&lt;=70000,"Medium","High"))</f>
        <v>Medium</v>
      </c>
      <c r="R191" s="7" t="str">
        <f>IF(OR(LOWER(TRIM(tblbuyers[[#This Row],[Purchased Bike]]))="yes",LOWER(TRIM(tblbuyers[[#This Row],[Purchased Bike]]))="y"),"Yes","No")</f>
        <v>Yes</v>
      </c>
    </row>
    <row r="192" spans="1:18"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c r="O192">
        <f>COUNTBLANK(tblbuyers[Income])</f>
        <v>0</v>
      </c>
      <c r="P192" t="str">
        <f>IF(tblbuyers[[#This Row],[Age]]&lt;30,"&lt;30",IF(tblbuyers[[#This Row],[Age]]&lt;=45,"30-45",IF(tblbuyers[[#This Row],[Age]]&lt;=60,"46-60","60+")))</f>
        <v>46-60</v>
      </c>
      <c r="Q192" t="str">
        <f>IF(tblbuyers[[#This Row],[Income]]&lt;30000,"Low",IF(tblbuyers[[#This Row],[Income]]&lt;=70000,"Medium","High"))</f>
        <v>Medium</v>
      </c>
      <c r="R192" s="7" t="str">
        <f>IF(OR(LOWER(TRIM(tblbuyers[[#This Row],[Purchased Bike]]))="yes",LOWER(TRIM(tblbuyers[[#This Row],[Purchased Bike]]))="y"),"Yes","No")</f>
        <v>No</v>
      </c>
    </row>
    <row r="193" spans="1:18"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c r="O193">
        <f>COUNTBLANK(tblbuyers[Income])</f>
        <v>0</v>
      </c>
      <c r="P193" t="str">
        <f>IF(tblbuyers[[#This Row],[Age]]&lt;30,"&lt;30",IF(tblbuyers[[#This Row],[Age]]&lt;=45,"30-45",IF(tblbuyers[[#This Row],[Age]]&lt;=60,"46-60","60+")))</f>
        <v>30-45</v>
      </c>
      <c r="Q193" t="str">
        <f>IF(tblbuyers[[#This Row],[Income]]&lt;30000,"Low",IF(tblbuyers[[#This Row],[Income]]&lt;=70000,"Medium","High"))</f>
        <v>High</v>
      </c>
      <c r="R193" s="7" t="str">
        <f>IF(OR(LOWER(TRIM(tblbuyers[[#This Row],[Purchased Bike]]))="yes",LOWER(TRIM(tblbuyers[[#This Row],[Purchased Bike]]))="y"),"Yes","No")</f>
        <v>Yes</v>
      </c>
    </row>
    <row r="194" spans="1:18"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c r="O194">
        <f>COUNTBLANK(tblbuyers[Income])</f>
        <v>0</v>
      </c>
      <c r="P194" t="str">
        <f>IF(tblbuyers[[#This Row],[Age]]&lt;30,"&lt;30",IF(tblbuyers[[#This Row],[Age]]&lt;=45,"30-45",IF(tblbuyers[[#This Row],[Age]]&lt;=60,"46-60","60+")))</f>
        <v>60+</v>
      </c>
      <c r="Q194" t="str">
        <f>IF(tblbuyers[[#This Row],[Income]]&lt;30000,"Low",IF(tblbuyers[[#This Row],[Income]]&lt;=70000,"Medium","High"))</f>
        <v>High</v>
      </c>
      <c r="R194" s="7" t="str">
        <f>IF(OR(LOWER(TRIM(tblbuyers[[#This Row],[Purchased Bike]]))="yes",LOWER(TRIM(tblbuyers[[#This Row],[Purchased Bike]]))="y"),"Yes","No")</f>
        <v>No</v>
      </c>
    </row>
    <row r="195" spans="1:18" x14ac:dyDescent="0.25">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Age",IF(L195&lt;31, "Adolescent","Invalid")))</f>
        <v>Middle Age</v>
      </c>
      <c r="N195" t="s">
        <v>18</v>
      </c>
      <c r="O195">
        <f>COUNTBLANK(tblbuyers[Income])</f>
        <v>0</v>
      </c>
      <c r="P195" t="str">
        <f>IF(tblbuyers[[#This Row],[Age]]&lt;30,"&lt;30",IF(tblbuyers[[#This Row],[Age]]&lt;=45,"30-45",IF(tblbuyers[[#This Row],[Age]]&lt;=60,"46-60","60+")))</f>
        <v>30-45</v>
      </c>
      <c r="Q195" t="str">
        <f>IF(tblbuyers[[#This Row],[Income]]&lt;30000,"Low",IF(tblbuyers[[#This Row],[Income]]&lt;=70000,"Medium","High"))</f>
        <v>Medium</v>
      </c>
      <c r="R195" s="7" t="str">
        <f>IF(OR(LOWER(TRIM(tblbuyers[[#This Row],[Purchased Bike]]))="yes",LOWER(TRIM(tblbuyers[[#This Row],[Purchased Bike]]))="y"),"Yes","No")</f>
        <v>No</v>
      </c>
    </row>
    <row r="196" spans="1:18"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c r="O196">
        <f>COUNTBLANK(tblbuyers[Income])</f>
        <v>0</v>
      </c>
      <c r="P196" t="str">
        <f>IF(tblbuyers[[#This Row],[Age]]&lt;30,"&lt;30",IF(tblbuyers[[#This Row],[Age]]&lt;=45,"30-45",IF(tblbuyers[[#This Row],[Age]]&lt;=60,"46-60","60+")))</f>
        <v>30-45</v>
      </c>
      <c r="Q196" t="str">
        <f>IF(tblbuyers[[#This Row],[Income]]&lt;30000,"Low",IF(tblbuyers[[#This Row],[Income]]&lt;=70000,"Medium","High"))</f>
        <v>Low</v>
      </c>
      <c r="R196" s="7" t="str">
        <f>IF(OR(LOWER(TRIM(tblbuyers[[#This Row],[Purchased Bike]]))="yes",LOWER(TRIM(tblbuyers[[#This Row],[Purchased Bike]]))="y"),"Yes","No")</f>
        <v>No</v>
      </c>
    </row>
    <row r="197" spans="1:18"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c r="O197">
        <f>COUNTBLANK(tblbuyers[Income])</f>
        <v>0</v>
      </c>
      <c r="P197" t="str">
        <f>IF(tblbuyers[[#This Row],[Age]]&lt;30,"&lt;30",IF(tblbuyers[[#This Row],[Age]]&lt;=45,"30-45",IF(tblbuyers[[#This Row],[Age]]&lt;=60,"46-60","60+")))</f>
        <v>&lt;30</v>
      </c>
      <c r="Q197" t="str">
        <f>IF(tblbuyers[[#This Row],[Income]]&lt;30000,"Low",IF(tblbuyers[[#This Row],[Income]]&lt;=70000,"Medium","High"))</f>
        <v>Low</v>
      </c>
      <c r="R197" s="7" t="str">
        <f>IF(OR(LOWER(TRIM(tblbuyers[[#This Row],[Purchased Bike]]))="yes",LOWER(TRIM(tblbuyers[[#This Row],[Purchased Bike]]))="y"),"Yes","No")</f>
        <v>Yes</v>
      </c>
    </row>
    <row r="198" spans="1:18"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c r="O198">
        <f>COUNTBLANK(tblbuyers[Income])</f>
        <v>0</v>
      </c>
      <c r="P198" t="str">
        <f>IF(tblbuyers[[#This Row],[Age]]&lt;30,"&lt;30",IF(tblbuyers[[#This Row],[Age]]&lt;=45,"30-45",IF(tblbuyers[[#This Row],[Age]]&lt;=60,"46-60","60+")))</f>
        <v>30-45</v>
      </c>
      <c r="Q198" t="str">
        <f>IF(tblbuyers[[#This Row],[Income]]&lt;30000,"Low",IF(tblbuyers[[#This Row],[Income]]&lt;=70000,"Medium","High"))</f>
        <v>Medium</v>
      </c>
      <c r="R198" s="7" t="str">
        <f>IF(OR(LOWER(TRIM(tblbuyers[[#This Row],[Purchased Bike]]))="yes",LOWER(TRIM(tblbuyers[[#This Row],[Purchased Bike]]))="y"),"Yes","No")</f>
        <v>No</v>
      </c>
    </row>
    <row r="199" spans="1:18"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c r="O199">
        <f>COUNTBLANK(tblbuyers[Income])</f>
        <v>0</v>
      </c>
      <c r="P199" t="str">
        <f>IF(tblbuyers[[#This Row],[Age]]&lt;30,"&lt;30",IF(tblbuyers[[#This Row],[Age]]&lt;=45,"30-45",IF(tblbuyers[[#This Row],[Age]]&lt;=60,"46-60","60+")))</f>
        <v>60+</v>
      </c>
      <c r="Q199" t="str">
        <f>IF(tblbuyers[[#This Row],[Income]]&lt;30000,"Low",IF(tblbuyers[[#This Row],[Income]]&lt;=70000,"Medium","High"))</f>
        <v>Medium</v>
      </c>
      <c r="R199" s="7" t="str">
        <f>IF(OR(LOWER(TRIM(tblbuyers[[#This Row],[Purchased Bike]]))="yes",LOWER(TRIM(tblbuyers[[#This Row],[Purchased Bike]]))="y"),"Yes","No")</f>
        <v>Yes</v>
      </c>
    </row>
    <row r="200" spans="1:18"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c r="O200">
        <f>COUNTBLANK(tblbuyers[Income])</f>
        <v>0</v>
      </c>
      <c r="P200" t="str">
        <f>IF(tblbuyers[[#This Row],[Age]]&lt;30,"&lt;30",IF(tblbuyers[[#This Row],[Age]]&lt;=45,"30-45",IF(tblbuyers[[#This Row],[Age]]&lt;=60,"46-60","60+")))</f>
        <v>30-45</v>
      </c>
      <c r="Q200" t="str">
        <f>IF(tblbuyers[[#This Row],[Income]]&lt;30000,"Low",IF(tblbuyers[[#This Row],[Income]]&lt;=70000,"Medium","High"))</f>
        <v>High</v>
      </c>
      <c r="R200" s="7" t="str">
        <f>IF(OR(LOWER(TRIM(tblbuyers[[#This Row],[Purchased Bike]]))="yes",LOWER(TRIM(tblbuyers[[#This Row],[Purchased Bike]]))="y"),"Yes","No")</f>
        <v>Yes</v>
      </c>
    </row>
    <row r="201" spans="1:18" x14ac:dyDescent="0.25">
      <c r="A201">
        <v>11453</v>
      </c>
      <c r="B201" t="s">
        <v>37</v>
      </c>
      <c r="C201" t="s">
        <v>39</v>
      </c>
      <c r="D201" s="3">
        <v>80000</v>
      </c>
      <c r="E201">
        <v>0</v>
      </c>
      <c r="F201" t="s">
        <v>13</v>
      </c>
      <c r="G201" t="s">
        <v>21</v>
      </c>
      <c r="H201" t="s">
        <v>18</v>
      </c>
      <c r="I201">
        <v>3</v>
      </c>
      <c r="J201" t="s">
        <v>30</v>
      </c>
      <c r="K201" t="s">
        <v>24</v>
      </c>
      <c r="L201">
        <v>33</v>
      </c>
      <c r="M201" t="str">
        <f t="shared" si="3"/>
        <v>Middle Age</v>
      </c>
      <c r="N201" t="s">
        <v>15</v>
      </c>
      <c r="O201">
        <f>COUNTBLANK(tblbuyers[Income])</f>
        <v>0</v>
      </c>
      <c r="P201" t="str">
        <f>IF(tblbuyers[[#This Row],[Age]]&lt;30,"&lt;30",IF(tblbuyers[[#This Row],[Age]]&lt;=45,"30-45",IF(tblbuyers[[#This Row],[Age]]&lt;=60,"46-60","60+")))</f>
        <v>30-45</v>
      </c>
      <c r="Q201" t="str">
        <f>IF(tblbuyers[[#This Row],[Income]]&lt;30000,"Low",IF(tblbuyers[[#This Row],[Income]]&lt;=70000,"Medium","High"))</f>
        <v>High</v>
      </c>
      <c r="R201" s="7" t="str">
        <f>IF(OR(LOWER(TRIM(tblbuyers[[#This Row],[Purchased Bike]]))="yes",LOWER(TRIM(tblbuyers[[#This Row],[Purchased Bike]]))="y"),"Yes","No")</f>
        <v>Yes</v>
      </c>
    </row>
    <row r="202" spans="1:18"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c r="O202">
        <f>COUNTBLANK(tblbuyers[Income])</f>
        <v>0</v>
      </c>
      <c r="P202" t="str">
        <f>IF(tblbuyers[[#This Row],[Age]]&lt;30,"&lt;30",IF(tblbuyers[[#This Row],[Age]]&lt;=45,"30-45",IF(tblbuyers[[#This Row],[Age]]&lt;=60,"46-60","60+")))</f>
        <v>30-45</v>
      </c>
      <c r="Q202" t="str">
        <f>IF(tblbuyers[[#This Row],[Income]]&lt;30000,"Low",IF(tblbuyers[[#This Row],[Income]]&lt;=70000,"Medium","High"))</f>
        <v>Medium</v>
      </c>
      <c r="R202" s="7" t="str">
        <f>IF(OR(LOWER(TRIM(tblbuyers[[#This Row],[Purchased Bike]]))="yes",LOWER(TRIM(tblbuyers[[#This Row],[Purchased Bike]]))="y"),"Yes","No")</f>
        <v>No</v>
      </c>
    </row>
    <row r="203" spans="1:18"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c r="O203">
        <f>COUNTBLANK(tblbuyers[Income])</f>
        <v>0</v>
      </c>
      <c r="P203" t="str">
        <f>IF(tblbuyers[[#This Row],[Age]]&lt;30,"&lt;30",IF(tblbuyers[[#This Row],[Age]]&lt;=45,"30-45",IF(tblbuyers[[#This Row],[Age]]&lt;=60,"46-60","60+")))</f>
        <v>&lt;30</v>
      </c>
      <c r="Q203" t="str">
        <f>IF(tblbuyers[[#This Row],[Income]]&lt;30000,"Low",IF(tblbuyers[[#This Row],[Income]]&lt;=70000,"Medium","High"))</f>
        <v>Low</v>
      </c>
      <c r="R203" s="7" t="str">
        <f>IF(OR(LOWER(TRIM(tblbuyers[[#This Row],[Purchased Bike]]))="yes",LOWER(TRIM(tblbuyers[[#This Row],[Purchased Bike]]))="y"),"Yes","No")</f>
        <v>Yes</v>
      </c>
    </row>
    <row r="204" spans="1:18"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c r="O204">
        <f>COUNTBLANK(tblbuyers[Income])</f>
        <v>0</v>
      </c>
      <c r="P204" t="str">
        <f>IF(tblbuyers[[#This Row],[Age]]&lt;30,"&lt;30",IF(tblbuyers[[#This Row],[Age]]&lt;=45,"30-45",IF(tblbuyers[[#This Row],[Age]]&lt;=60,"46-60","60+")))</f>
        <v>30-45</v>
      </c>
      <c r="Q204" t="str">
        <f>IF(tblbuyers[[#This Row],[Income]]&lt;30000,"Low",IF(tblbuyers[[#This Row],[Income]]&lt;=70000,"Medium","High"))</f>
        <v>Medium</v>
      </c>
      <c r="R204" s="7" t="str">
        <f>IF(OR(LOWER(TRIM(tblbuyers[[#This Row],[Purchased Bike]]))="yes",LOWER(TRIM(tblbuyers[[#This Row],[Purchased Bike]]))="y"),"Yes","No")</f>
        <v>Yes</v>
      </c>
    </row>
    <row r="205" spans="1:18"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c r="O205">
        <f>COUNTBLANK(tblbuyers[Income])</f>
        <v>0</v>
      </c>
      <c r="P205" t="str">
        <f>IF(tblbuyers[[#This Row],[Age]]&lt;30,"&lt;30",IF(tblbuyers[[#This Row],[Age]]&lt;=45,"30-45",IF(tblbuyers[[#This Row],[Age]]&lt;=60,"46-60","60+")))</f>
        <v>46-60</v>
      </c>
      <c r="Q205" t="str">
        <f>IF(tblbuyers[[#This Row],[Income]]&lt;30000,"Low",IF(tblbuyers[[#This Row],[Income]]&lt;=70000,"Medium","High"))</f>
        <v>Medium</v>
      </c>
      <c r="R205" s="7" t="str">
        <f>IF(OR(LOWER(TRIM(tblbuyers[[#This Row],[Purchased Bike]]))="yes",LOWER(TRIM(tblbuyers[[#This Row],[Purchased Bike]]))="y"),"Yes","No")</f>
        <v>Yes</v>
      </c>
    </row>
    <row r="206" spans="1:18"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c r="O206">
        <f>COUNTBLANK(tblbuyers[Income])</f>
        <v>0</v>
      </c>
      <c r="P206" t="str">
        <f>IF(tblbuyers[[#This Row],[Age]]&lt;30,"&lt;30",IF(tblbuyers[[#This Row],[Age]]&lt;=45,"30-45",IF(tblbuyers[[#This Row],[Age]]&lt;=60,"46-60","60+")))</f>
        <v>46-60</v>
      </c>
      <c r="Q206" t="str">
        <f>IF(tblbuyers[[#This Row],[Income]]&lt;30000,"Low",IF(tblbuyers[[#This Row],[Income]]&lt;=70000,"Medium","High"))</f>
        <v>High</v>
      </c>
      <c r="R206" s="7" t="str">
        <f>IF(OR(LOWER(TRIM(tblbuyers[[#This Row],[Purchased Bike]]))="yes",LOWER(TRIM(tblbuyers[[#This Row],[Purchased Bike]]))="y"),"Yes","No")</f>
        <v>No</v>
      </c>
    </row>
    <row r="207" spans="1:18"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c r="O207">
        <f>COUNTBLANK(tblbuyers[Income])</f>
        <v>0</v>
      </c>
      <c r="P207" t="str">
        <f>IF(tblbuyers[[#This Row],[Age]]&lt;30,"&lt;30",IF(tblbuyers[[#This Row],[Age]]&lt;=45,"30-45",IF(tblbuyers[[#This Row],[Age]]&lt;=60,"46-60","60+")))</f>
        <v>46-60</v>
      </c>
      <c r="Q207" t="str">
        <f>IF(tblbuyers[[#This Row],[Income]]&lt;30000,"Low",IF(tblbuyers[[#This Row],[Income]]&lt;=70000,"Medium","High"))</f>
        <v>Medium</v>
      </c>
      <c r="R207" s="7" t="str">
        <f>IF(OR(LOWER(TRIM(tblbuyers[[#This Row],[Purchased Bike]]))="yes",LOWER(TRIM(tblbuyers[[#This Row],[Purchased Bike]]))="y"),"Yes","No")</f>
        <v>Yes</v>
      </c>
    </row>
    <row r="208" spans="1:18"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c r="O208">
        <f>COUNTBLANK(tblbuyers[Income])</f>
        <v>0</v>
      </c>
      <c r="P208" t="str">
        <f>IF(tblbuyers[[#This Row],[Age]]&lt;30,"&lt;30",IF(tblbuyers[[#This Row],[Age]]&lt;=45,"30-45",IF(tblbuyers[[#This Row],[Age]]&lt;=60,"46-60","60+")))</f>
        <v>60+</v>
      </c>
      <c r="Q208" t="str">
        <f>IF(tblbuyers[[#This Row],[Income]]&lt;30000,"Low",IF(tblbuyers[[#This Row],[Income]]&lt;=70000,"Medium","High"))</f>
        <v>High</v>
      </c>
      <c r="R208" s="7" t="str">
        <f>IF(OR(LOWER(TRIM(tblbuyers[[#This Row],[Purchased Bike]]))="yes",LOWER(TRIM(tblbuyers[[#This Row],[Purchased Bike]]))="y"),"Yes","No")</f>
        <v>No</v>
      </c>
    </row>
    <row r="209" spans="1:18"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c r="O209">
        <f>COUNTBLANK(tblbuyers[Income])</f>
        <v>0</v>
      </c>
      <c r="P209" t="str">
        <f>IF(tblbuyers[[#This Row],[Age]]&lt;30,"&lt;30",IF(tblbuyers[[#This Row],[Age]]&lt;=45,"30-45",IF(tblbuyers[[#This Row],[Age]]&lt;=60,"46-60","60+")))</f>
        <v>&lt;30</v>
      </c>
      <c r="Q209" t="str">
        <f>IF(tblbuyers[[#This Row],[Income]]&lt;30000,"Low",IF(tblbuyers[[#This Row],[Income]]&lt;=70000,"Medium","High"))</f>
        <v>Low</v>
      </c>
      <c r="R209" s="7" t="str">
        <f>IF(OR(LOWER(TRIM(tblbuyers[[#This Row],[Purchased Bike]]))="yes",LOWER(TRIM(tblbuyers[[#This Row],[Purchased Bike]]))="y"),"Yes","No")</f>
        <v>Yes</v>
      </c>
    </row>
    <row r="210" spans="1:18"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c r="O210">
        <f>COUNTBLANK(tblbuyers[Income])</f>
        <v>0</v>
      </c>
      <c r="P210" t="str">
        <f>IF(tblbuyers[[#This Row],[Age]]&lt;30,"&lt;30",IF(tblbuyers[[#This Row],[Age]]&lt;=45,"30-45",IF(tblbuyers[[#This Row],[Age]]&lt;=60,"46-60","60+")))</f>
        <v>30-45</v>
      </c>
      <c r="Q210" t="str">
        <f>IF(tblbuyers[[#This Row],[Income]]&lt;30000,"Low",IF(tblbuyers[[#This Row],[Income]]&lt;=70000,"Medium","High"))</f>
        <v>Medium</v>
      </c>
      <c r="R210" s="7" t="str">
        <f>IF(OR(LOWER(TRIM(tblbuyers[[#This Row],[Purchased Bike]]))="yes",LOWER(TRIM(tblbuyers[[#This Row],[Purchased Bike]]))="y"),"Yes","No")</f>
        <v>Yes</v>
      </c>
    </row>
    <row r="211" spans="1:18"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c r="O211">
        <f>COUNTBLANK(tblbuyers[Income])</f>
        <v>0</v>
      </c>
      <c r="P211" t="str">
        <f>IF(tblbuyers[[#This Row],[Age]]&lt;30,"&lt;30",IF(tblbuyers[[#This Row],[Age]]&lt;=45,"30-45",IF(tblbuyers[[#This Row],[Age]]&lt;=60,"46-60","60+")))</f>
        <v>30-45</v>
      </c>
      <c r="Q211" t="str">
        <f>IF(tblbuyers[[#This Row],[Income]]&lt;30000,"Low",IF(tblbuyers[[#This Row],[Income]]&lt;=70000,"Medium","High"))</f>
        <v>Medium</v>
      </c>
      <c r="R211" s="7" t="str">
        <f>IF(OR(LOWER(TRIM(tblbuyers[[#This Row],[Purchased Bike]]))="yes",LOWER(TRIM(tblbuyers[[#This Row],[Purchased Bike]]))="y"),"Yes","No")</f>
        <v>Yes</v>
      </c>
    </row>
    <row r="212" spans="1:18"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c r="O212">
        <f>COUNTBLANK(tblbuyers[Income])</f>
        <v>0</v>
      </c>
      <c r="P212" t="str">
        <f>IF(tblbuyers[[#This Row],[Age]]&lt;30,"&lt;30",IF(tblbuyers[[#This Row],[Age]]&lt;=45,"30-45",IF(tblbuyers[[#This Row],[Age]]&lt;=60,"46-60","60+")))</f>
        <v>30-45</v>
      </c>
      <c r="Q212" t="str">
        <f>IF(tblbuyers[[#This Row],[Income]]&lt;30000,"Low",IF(tblbuyers[[#This Row],[Income]]&lt;=70000,"Medium","High"))</f>
        <v>High</v>
      </c>
      <c r="R212" s="7" t="str">
        <f>IF(OR(LOWER(TRIM(tblbuyers[[#This Row],[Purchased Bike]]))="yes",LOWER(TRIM(tblbuyers[[#This Row],[Purchased Bike]]))="y"),"Yes","No")</f>
        <v>No</v>
      </c>
    </row>
    <row r="213" spans="1:18"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c r="O213">
        <f>COUNTBLANK(tblbuyers[Income])</f>
        <v>0</v>
      </c>
      <c r="P213" t="str">
        <f>IF(tblbuyers[[#This Row],[Age]]&lt;30,"&lt;30",IF(tblbuyers[[#This Row],[Age]]&lt;=45,"30-45",IF(tblbuyers[[#This Row],[Age]]&lt;=60,"46-60","60+")))</f>
        <v>30-45</v>
      </c>
      <c r="Q213" t="str">
        <f>IF(tblbuyers[[#This Row],[Income]]&lt;30000,"Low",IF(tblbuyers[[#This Row],[Income]]&lt;=70000,"Medium","High"))</f>
        <v>Medium</v>
      </c>
      <c r="R213" s="7" t="str">
        <f>IF(OR(LOWER(TRIM(tblbuyers[[#This Row],[Purchased Bike]]))="yes",LOWER(TRIM(tblbuyers[[#This Row],[Purchased Bike]]))="y"),"Yes","No")</f>
        <v>Yes</v>
      </c>
    </row>
    <row r="214" spans="1:18"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c r="O214">
        <f>COUNTBLANK(tblbuyers[Income])</f>
        <v>0</v>
      </c>
      <c r="P214" t="str">
        <f>IF(tblbuyers[[#This Row],[Age]]&lt;30,"&lt;30",IF(tblbuyers[[#This Row],[Age]]&lt;=45,"30-45",IF(tblbuyers[[#This Row],[Age]]&lt;=60,"46-60","60+")))</f>
        <v>30-45</v>
      </c>
      <c r="Q214" t="str">
        <f>IF(tblbuyers[[#This Row],[Income]]&lt;30000,"Low",IF(tblbuyers[[#This Row],[Income]]&lt;=70000,"Medium","High"))</f>
        <v>Medium</v>
      </c>
      <c r="R214" s="7" t="str">
        <f>IF(OR(LOWER(TRIM(tblbuyers[[#This Row],[Purchased Bike]]))="yes",LOWER(TRIM(tblbuyers[[#This Row],[Purchased Bike]]))="y"),"Yes","No")</f>
        <v>No</v>
      </c>
    </row>
    <row r="215" spans="1:18" x14ac:dyDescent="0.25">
      <c r="A215">
        <v>11451</v>
      </c>
      <c r="B215" t="s">
        <v>37</v>
      </c>
      <c r="C215" t="s">
        <v>39</v>
      </c>
      <c r="D215" s="3">
        <v>70000</v>
      </c>
      <c r="E215">
        <v>0</v>
      </c>
      <c r="F215" t="s">
        <v>13</v>
      </c>
      <c r="G215" t="s">
        <v>21</v>
      </c>
      <c r="H215" t="s">
        <v>18</v>
      </c>
      <c r="I215">
        <v>4</v>
      </c>
      <c r="J215" t="s">
        <v>30</v>
      </c>
      <c r="K215" t="s">
        <v>24</v>
      </c>
      <c r="L215">
        <v>31</v>
      </c>
      <c r="M215" t="str">
        <f t="shared" si="3"/>
        <v>Middle Age</v>
      </c>
      <c r="N215" t="s">
        <v>15</v>
      </c>
      <c r="O215">
        <f>COUNTBLANK(tblbuyers[Income])</f>
        <v>0</v>
      </c>
      <c r="P215" t="str">
        <f>IF(tblbuyers[[#This Row],[Age]]&lt;30,"&lt;30",IF(tblbuyers[[#This Row],[Age]]&lt;=45,"30-45",IF(tblbuyers[[#This Row],[Age]]&lt;=60,"46-60","60+")))</f>
        <v>30-45</v>
      </c>
      <c r="Q215" t="str">
        <f>IF(tblbuyers[[#This Row],[Income]]&lt;30000,"Low",IF(tblbuyers[[#This Row],[Income]]&lt;=70000,"Medium","High"))</f>
        <v>Medium</v>
      </c>
      <c r="R215" s="7" t="str">
        <f>IF(OR(LOWER(TRIM(tblbuyers[[#This Row],[Purchased Bike]]))="yes",LOWER(TRIM(tblbuyers[[#This Row],[Purchased Bike]]))="y"),"Yes","No")</f>
        <v>Yes</v>
      </c>
    </row>
    <row r="216" spans="1:18"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c r="O216">
        <f>COUNTBLANK(tblbuyers[Income])</f>
        <v>0</v>
      </c>
      <c r="P216" t="str">
        <f>IF(tblbuyers[[#This Row],[Age]]&lt;30,"&lt;30",IF(tblbuyers[[#This Row],[Age]]&lt;=45,"30-45",IF(tblbuyers[[#This Row],[Age]]&lt;=60,"46-60","60+")))</f>
        <v>60+</v>
      </c>
      <c r="Q216" t="str">
        <f>IF(tblbuyers[[#This Row],[Income]]&lt;30000,"Low",IF(tblbuyers[[#This Row],[Income]]&lt;=70000,"Medium","High"))</f>
        <v>Medium</v>
      </c>
      <c r="R216" s="7" t="str">
        <f>IF(OR(LOWER(TRIM(tblbuyers[[#This Row],[Purchased Bike]]))="yes",LOWER(TRIM(tblbuyers[[#This Row],[Purchased Bike]]))="y"),"Yes","No")</f>
        <v>Yes</v>
      </c>
    </row>
    <row r="217" spans="1:18"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c r="O217">
        <f>COUNTBLANK(tblbuyers[Income])</f>
        <v>0</v>
      </c>
      <c r="P217" t="str">
        <f>IF(tblbuyers[[#This Row],[Age]]&lt;30,"&lt;30",IF(tblbuyers[[#This Row],[Age]]&lt;=45,"30-45",IF(tblbuyers[[#This Row],[Age]]&lt;=60,"46-60","60+")))</f>
        <v>46-60</v>
      </c>
      <c r="Q217" t="str">
        <f>IF(tblbuyers[[#This Row],[Income]]&lt;30000,"Low",IF(tblbuyers[[#This Row],[Income]]&lt;=70000,"Medium","High"))</f>
        <v>High</v>
      </c>
      <c r="R217" s="7" t="str">
        <f>IF(OR(LOWER(TRIM(tblbuyers[[#This Row],[Purchased Bike]]))="yes",LOWER(TRIM(tblbuyers[[#This Row],[Purchased Bike]]))="y"),"Yes","No")</f>
        <v>Yes</v>
      </c>
    </row>
    <row r="218" spans="1:18"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c r="O218">
        <f>COUNTBLANK(tblbuyers[Income])</f>
        <v>0</v>
      </c>
      <c r="P218" t="str">
        <f>IF(tblbuyers[[#This Row],[Age]]&lt;30,"&lt;30",IF(tblbuyers[[#This Row],[Age]]&lt;=45,"30-45",IF(tblbuyers[[#This Row],[Age]]&lt;=60,"46-60","60+")))</f>
        <v>46-60</v>
      </c>
      <c r="Q218" t="str">
        <f>IF(tblbuyers[[#This Row],[Income]]&lt;30000,"Low",IF(tblbuyers[[#This Row],[Income]]&lt;=70000,"Medium","High"))</f>
        <v>Low</v>
      </c>
      <c r="R218" s="7" t="str">
        <f>IF(OR(LOWER(TRIM(tblbuyers[[#This Row],[Purchased Bike]]))="yes",LOWER(TRIM(tblbuyers[[#This Row],[Purchased Bike]]))="y"),"Yes","No")</f>
        <v>No</v>
      </c>
    </row>
    <row r="219" spans="1:18"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c r="O219">
        <f>COUNTBLANK(tblbuyers[Income])</f>
        <v>0</v>
      </c>
      <c r="P219" t="str">
        <f>IF(tblbuyers[[#This Row],[Age]]&lt;30,"&lt;30",IF(tblbuyers[[#This Row],[Age]]&lt;=45,"30-45",IF(tblbuyers[[#This Row],[Age]]&lt;=60,"46-60","60+")))</f>
        <v>&lt;30</v>
      </c>
      <c r="Q219" t="str">
        <f>IF(tblbuyers[[#This Row],[Income]]&lt;30000,"Low",IF(tblbuyers[[#This Row],[Income]]&lt;=70000,"Medium","High"))</f>
        <v>Low</v>
      </c>
      <c r="R219" s="7" t="str">
        <f>IF(OR(LOWER(TRIM(tblbuyers[[#This Row],[Purchased Bike]]))="yes",LOWER(TRIM(tblbuyers[[#This Row],[Purchased Bike]]))="y"),"Yes","No")</f>
        <v>No</v>
      </c>
    </row>
    <row r="220" spans="1:18"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c r="O220">
        <f>COUNTBLANK(tblbuyers[Income])</f>
        <v>0</v>
      </c>
      <c r="P220" t="str">
        <f>IF(tblbuyers[[#This Row],[Age]]&lt;30,"&lt;30",IF(tblbuyers[[#This Row],[Age]]&lt;=45,"30-45",IF(tblbuyers[[#This Row],[Age]]&lt;=60,"46-60","60+")))</f>
        <v>46-60</v>
      </c>
      <c r="Q220" t="str">
        <f>IF(tblbuyers[[#This Row],[Income]]&lt;30000,"Low",IF(tblbuyers[[#This Row],[Income]]&lt;=70000,"Medium","High"))</f>
        <v>Low</v>
      </c>
      <c r="R220" s="7" t="str">
        <f>IF(OR(LOWER(TRIM(tblbuyers[[#This Row],[Purchased Bike]]))="yes",LOWER(TRIM(tblbuyers[[#This Row],[Purchased Bike]]))="y"),"Yes","No")</f>
        <v>No</v>
      </c>
    </row>
    <row r="221" spans="1:18"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c r="O221">
        <f>COUNTBLANK(tblbuyers[Income])</f>
        <v>0</v>
      </c>
      <c r="P221" t="str">
        <f>IF(tblbuyers[[#This Row],[Age]]&lt;30,"&lt;30",IF(tblbuyers[[#This Row],[Age]]&lt;=45,"30-45",IF(tblbuyers[[#This Row],[Age]]&lt;=60,"46-60","60+")))</f>
        <v>&lt;30</v>
      </c>
      <c r="Q221" t="str">
        <f>IF(tblbuyers[[#This Row],[Income]]&lt;30000,"Low",IF(tblbuyers[[#This Row],[Income]]&lt;=70000,"Medium","High"))</f>
        <v>Low</v>
      </c>
      <c r="R221" s="7" t="str">
        <f>IF(OR(LOWER(TRIM(tblbuyers[[#This Row],[Purchased Bike]]))="yes",LOWER(TRIM(tblbuyers[[#This Row],[Purchased Bike]]))="y"),"Yes","No")</f>
        <v>Yes</v>
      </c>
    </row>
    <row r="222" spans="1:18"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c r="O222">
        <f>COUNTBLANK(tblbuyers[Income])</f>
        <v>0</v>
      </c>
      <c r="P222" t="str">
        <f>IF(tblbuyers[[#This Row],[Age]]&lt;30,"&lt;30",IF(tblbuyers[[#This Row],[Age]]&lt;=45,"30-45",IF(tblbuyers[[#This Row],[Age]]&lt;=60,"46-60","60+")))</f>
        <v>30-45</v>
      </c>
      <c r="Q222" t="str">
        <f>IF(tblbuyers[[#This Row],[Income]]&lt;30000,"Low",IF(tblbuyers[[#This Row],[Income]]&lt;=70000,"Medium","High"))</f>
        <v>Medium</v>
      </c>
      <c r="R222" s="7" t="str">
        <f>IF(OR(LOWER(TRIM(tblbuyers[[#This Row],[Purchased Bike]]))="yes",LOWER(TRIM(tblbuyers[[#This Row],[Purchased Bike]]))="y"),"Yes","No")</f>
        <v>Yes</v>
      </c>
    </row>
    <row r="223" spans="1:18"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c r="O223">
        <f>COUNTBLANK(tblbuyers[Income])</f>
        <v>0</v>
      </c>
      <c r="P223" t="str">
        <f>IF(tblbuyers[[#This Row],[Age]]&lt;30,"&lt;30",IF(tblbuyers[[#This Row],[Age]]&lt;=45,"30-45",IF(tblbuyers[[#This Row],[Age]]&lt;=60,"46-60","60+")))</f>
        <v>30-45</v>
      </c>
      <c r="Q223" t="str">
        <f>IF(tblbuyers[[#This Row],[Income]]&lt;30000,"Low",IF(tblbuyers[[#This Row],[Income]]&lt;=70000,"Medium","High"))</f>
        <v>Low</v>
      </c>
      <c r="R223" s="7" t="str">
        <f>IF(OR(LOWER(TRIM(tblbuyers[[#This Row],[Purchased Bike]]))="yes",LOWER(TRIM(tblbuyers[[#This Row],[Purchased Bike]]))="y"),"Yes","No")</f>
        <v>No</v>
      </c>
    </row>
    <row r="224" spans="1:18"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c r="O224">
        <f>COUNTBLANK(tblbuyers[Income])</f>
        <v>0</v>
      </c>
      <c r="P224" t="str">
        <f>IF(tblbuyers[[#This Row],[Age]]&lt;30,"&lt;30",IF(tblbuyers[[#This Row],[Age]]&lt;=45,"30-45",IF(tblbuyers[[#This Row],[Age]]&lt;=60,"46-60","60+")))</f>
        <v>30-45</v>
      </c>
      <c r="Q224" t="str">
        <f>IF(tblbuyers[[#This Row],[Income]]&lt;30000,"Low",IF(tblbuyers[[#This Row],[Income]]&lt;=70000,"Medium","High"))</f>
        <v>Medium</v>
      </c>
      <c r="R224" s="7" t="str">
        <f>IF(OR(LOWER(TRIM(tblbuyers[[#This Row],[Purchased Bike]]))="yes",LOWER(TRIM(tblbuyers[[#This Row],[Purchased Bike]]))="y"),"Yes","No")</f>
        <v>No</v>
      </c>
    </row>
    <row r="225" spans="1:18"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c r="O225">
        <f>COUNTBLANK(tblbuyers[Income])</f>
        <v>0</v>
      </c>
      <c r="P225" t="str">
        <f>IF(tblbuyers[[#This Row],[Age]]&lt;30,"&lt;30",IF(tblbuyers[[#This Row],[Age]]&lt;=45,"30-45",IF(tblbuyers[[#This Row],[Age]]&lt;=60,"46-60","60+")))</f>
        <v>30-45</v>
      </c>
      <c r="Q225" t="str">
        <f>IF(tblbuyers[[#This Row],[Income]]&lt;30000,"Low",IF(tblbuyers[[#This Row],[Income]]&lt;=70000,"Medium","High"))</f>
        <v>Medium</v>
      </c>
      <c r="R225" s="7" t="str">
        <f>IF(OR(LOWER(TRIM(tblbuyers[[#This Row],[Purchased Bike]]))="yes",LOWER(TRIM(tblbuyers[[#This Row],[Purchased Bike]]))="y"),"Yes","No")</f>
        <v>No</v>
      </c>
    </row>
    <row r="226" spans="1:18"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c r="O226">
        <f>COUNTBLANK(tblbuyers[Income])</f>
        <v>0</v>
      </c>
      <c r="P226" t="str">
        <f>IF(tblbuyers[[#This Row],[Age]]&lt;30,"&lt;30",IF(tblbuyers[[#This Row],[Age]]&lt;=45,"30-45",IF(tblbuyers[[#This Row],[Age]]&lt;=60,"46-60","60+")))</f>
        <v>60+</v>
      </c>
      <c r="Q226" t="str">
        <f>IF(tblbuyers[[#This Row],[Income]]&lt;30000,"Low",IF(tblbuyers[[#This Row],[Income]]&lt;=70000,"Medium","High"))</f>
        <v>Medium</v>
      </c>
      <c r="R226" s="7" t="str">
        <f>IF(OR(LOWER(TRIM(tblbuyers[[#This Row],[Purchased Bike]]))="yes",LOWER(TRIM(tblbuyers[[#This Row],[Purchased Bike]]))="y"),"Yes","No")</f>
        <v>No</v>
      </c>
    </row>
    <row r="227" spans="1:18"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c r="O227">
        <f>COUNTBLANK(tblbuyers[Income])</f>
        <v>0</v>
      </c>
      <c r="P227" t="str">
        <f>IF(tblbuyers[[#This Row],[Age]]&lt;30,"&lt;30",IF(tblbuyers[[#This Row],[Age]]&lt;=45,"30-45",IF(tblbuyers[[#This Row],[Age]]&lt;=60,"46-60","60+")))</f>
        <v>30-45</v>
      </c>
      <c r="Q227" t="str">
        <f>IF(tblbuyers[[#This Row],[Income]]&lt;30000,"Low",IF(tblbuyers[[#This Row],[Income]]&lt;=70000,"Medium","High"))</f>
        <v>Low</v>
      </c>
      <c r="R227" s="7" t="str">
        <f>IF(OR(LOWER(TRIM(tblbuyers[[#This Row],[Purchased Bike]]))="yes",LOWER(TRIM(tblbuyers[[#This Row],[Purchased Bike]]))="y"),"Yes","No")</f>
        <v>No</v>
      </c>
    </row>
    <row r="228" spans="1:18"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c r="O228">
        <f>COUNTBLANK(tblbuyers[Income])</f>
        <v>0</v>
      </c>
      <c r="P228" t="str">
        <f>IF(tblbuyers[[#This Row],[Age]]&lt;30,"&lt;30",IF(tblbuyers[[#This Row],[Age]]&lt;=45,"30-45",IF(tblbuyers[[#This Row],[Age]]&lt;=60,"46-60","60+")))</f>
        <v>30-45</v>
      </c>
      <c r="Q228" t="str">
        <f>IF(tblbuyers[[#This Row],[Income]]&lt;30000,"Low",IF(tblbuyers[[#This Row],[Income]]&lt;=70000,"Medium","High"))</f>
        <v>Low</v>
      </c>
      <c r="R228" s="7" t="str">
        <f>IF(OR(LOWER(TRIM(tblbuyers[[#This Row],[Purchased Bike]]))="yes",LOWER(TRIM(tblbuyers[[#This Row],[Purchased Bike]]))="y"),"Yes","No")</f>
        <v>Yes</v>
      </c>
    </row>
    <row r="229" spans="1:18"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c r="O229">
        <f>COUNTBLANK(tblbuyers[Income])</f>
        <v>0</v>
      </c>
      <c r="P229" t="str">
        <f>IF(tblbuyers[[#This Row],[Age]]&lt;30,"&lt;30",IF(tblbuyers[[#This Row],[Age]]&lt;=45,"30-45",IF(tblbuyers[[#This Row],[Age]]&lt;=60,"46-60","60+")))</f>
        <v>30-45</v>
      </c>
      <c r="Q229" t="str">
        <f>IF(tblbuyers[[#This Row],[Income]]&lt;30000,"Low",IF(tblbuyers[[#This Row],[Income]]&lt;=70000,"Medium","High"))</f>
        <v>Low</v>
      </c>
      <c r="R229" s="7" t="str">
        <f>IF(OR(LOWER(TRIM(tblbuyers[[#This Row],[Purchased Bike]]))="yes",LOWER(TRIM(tblbuyers[[#This Row],[Purchased Bike]]))="y"),"Yes","No")</f>
        <v>No</v>
      </c>
    </row>
    <row r="230" spans="1:18"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c r="O230">
        <f>COUNTBLANK(tblbuyers[Income])</f>
        <v>0</v>
      </c>
      <c r="P230" t="str">
        <f>IF(tblbuyers[[#This Row],[Age]]&lt;30,"&lt;30",IF(tblbuyers[[#This Row],[Age]]&lt;=45,"30-45",IF(tblbuyers[[#This Row],[Age]]&lt;=60,"46-60","60+")))</f>
        <v>30-45</v>
      </c>
      <c r="Q230" t="str">
        <f>IF(tblbuyers[[#This Row],[Income]]&lt;30000,"Low",IF(tblbuyers[[#This Row],[Income]]&lt;=70000,"Medium","High"))</f>
        <v>Low</v>
      </c>
      <c r="R230" s="7" t="str">
        <f>IF(OR(LOWER(TRIM(tblbuyers[[#This Row],[Purchased Bike]]))="yes",LOWER(TRIM(tblbuyers[[#This Row],[Purchased Bike]]))="y"),"Yes","No")</f>
        <v>No</v>
      </c>
    </row>
    <row r="231" spans="1:18"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c r="O231">
        <f>COUNTBLANK(tblbuyers[Income])</f>
        <v>0</v>
      </c>
      <c r="P231" t="str">
        <f>IF(tblbuyers[[#This Row],[Age]]&lt;30,"&lt;30",IF(tblbuyers[[#This Row],[Age]]&lt;=45,"30-45",IF(tblbuyers[[#This Row],[Age]]&lt;=60,"46-60","60+")))</f>
        <v>46-60</v>
      </c>
      <c r="Q231" t="str">
        <f>IF(tblbuyers[[#This Row],[Income]]&lt;30000,"Low",IF(tblbuyers[[#This Row],[Income]]&lt;=70000,"Medium","High"))</f>
        <v>High</v>
      </c>
      <c r="R231" s="7" t="str">
        <f>IF(OR(LOWER(TRIM(tblbuyers[[#This Row],[Purchased Bike]]))="yes",LOWER(TRIM(tblbuyers[[#This Row],[Purchased Bike]]))="y"),"Yes","No")</f>
        <v>No</v>
      </c>
    </row>
    <row r="232" spans="1:18"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c r="O232">
        <f>COUNTBLANK(tblbuyers[Income])</f>
        <v>0</v>
      </c>
      <c r="P232" t="str">
        <f>IF(tblbuyers[[#This Row],[Age]]&lt;30,"&lt;30",IF(tblbuyers[[#This Row],[Age]]&lt;=45,"30-45",IF(tblbuyers[[#This Row],[Age]]&lt;=60,"46-60","60+")))</f>
        <v>46-60</v>
      </c>
      <c r="Q232" t="str">
        <f>IF(tblbuyers[[#This Row],[Income]]&lt;30000,"Low",IF(tblbuyers[[#This Row],[Income]]&lt;=70000,"Medium","High"))</f>
        <v>High</v>
      </c>
      <c r="R232" s="7" t="str">
        <f>IF(OR(LOWER(TRIM(tblbuyers[[#This Row],[Purchased Bike]]))="yes",LOWER(TRIM(tblbuyers[[#This Row],[Purchased Bike]]))="y"),"Yes","No")</f>
        <v>No</v>
      </c>
    </row>
    <row r="233" spans="1:18"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c r="O233">
        <f>COUNTBLANK(tblbuyers[Income])</f>
        <v>0</v>
      </c>
      <c r="P233" t="str">
        <f>IF(tblbuyers[[#This Row],[Age]]&lt;30,"&lt;30",IF(tblbuyers[[#This Row],[Age]]&lt;=45,"30-45",IF(tblbuyers[[#This Row],[Age]]&lt;=60,"46-60","60+")))</f>
        <v>30-45</v>
      </c>
      <c r="Q233" t="str">
        <f>IF(tblbuyers[[#This Row],[Income]]&lt;30000,"Low",IF(tblbuyers[[#This Row],[Income]]&lt;=70000,"Medium","High"))</f>
        <v>Medium</v>
      </c>
      <c r="R233" s="7" t="str">
        <f>IF(OR(LOWER(TRIM(tblbuyers[[#This Row],[Purchased Bike]]))="yes",LOWER(TRIM(tblbuyers[[#This Row],[Purchased Bike]]))="y"),"Yes","No")</f>
        <v>Yes</v>
      </c>
    </row>
    <row r="234" spans="1:18"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c r="O234">
        <f>COUNTBLANK(tblbuyers[Income])</f>
        <v>0</v>
      </c>
      <c r="P234" t="str">
        <f>IF(tblbuyers[[#This Row],[Age]]&lt;30,"&lt;30",IF(tblbuyers[[#This Row],[Age]]&lt;=45,"30-45",IF(tblbuyers[[#This Row],[Age]]&lt;=60,"46-60","60+")))</f>
        <v>30-45</v>
      </c>
      <c r="Q234" t="str">
        <f>IF(tblbuyers[[#This Row],[Income]]&lt;30000,"Low",IF(tblbuyers[[#This Row],[Income]]&lt;=70000,"Medium","High"))</f>
        <v>Medium</v>
      </c>
      <c r="R234" s="7" t="str">
        <f>IF(OR(LOWER(TRIM(tblbuyers[[#This Row],[Purchased Bike]]))="yes",LOWER(TRIM(tblbuyers[[#This Row],[Purchased Bike]]))="y"),"Yes","No")</f>
        <v>No</v>
      </c>
    </row>
    <row r="235" spans="1:18"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c r="O235">
        <f>COUNTBLANK(tblbuyers[Income])</f>
        <v>0</v>
      </c>
      <c r="P235" t="str">
        <f>IF(tblbuyers[[#This Row],[Age]]&lt;30,"&lt;30",IF(tblbuyers[[#This Row],[Age]]&lt;=45,"30-45",IF(tblbuyers[[#This Row],[Age]]&lt;=60,"46-60","60+")))</f>
        <v>&lt;30</v>
      </c>
      <c r="Q235" t="str">
        <f>IF(tblbuyers[[#This Row],[Income]]&lt;30000,"Low",IF(tblbuyers[[#This Row],[Income]]&lt;=70000,"Medium","High"))</f>
        <v>Low</v>
      </c>
      <c r="R235" s="7" t="str">
        <f>IF(OR(LOWER(TRIM(tblbuyers[[#This Row],[Purchased Bike]]))="yes",LOWER(TRIM(tblbuyers[[#This Row],[Purchased Bike]]))="y"),"Yes","No")</f>
        <v>Yes</v>
      </c>
    </row>
    <row r="236" spans="1:18" x14ac:dyDescent="0.25">
      <c r="A236">
        <v>24611</v>
      </c>
      <c r="B236" t="s">
        <v>37</v>
      </c>
      <c r="C236" t="s">
        <v>39</v>
      </c>
      <c r="D236" s="3">
        <v>90000</v>
      </c>
      <c r="E236">
        <v>0</v>
      </c>
      <c r="F236" t="s">
        <v>13</v>
      </c>
      <c r="G236" t="s">
        <v>21</v>
      </c>
      <c r="H236" t="s">
        <v>18</v>
      </c>
      <c r="I236">
        <v>4</v>
      </c>
      <c r="J236" t="s">
        <v>30</v>
      </c>
      <c r="K236" t="s">
        <v>24</v>
      </c>
      <c r="L236">
        <v>35</v>
      </c>
      <c r="M236" t="str">
        <f t="shared" si="3"/>
        <v>Middle Age</v>
      </c>
      <c r="N236" t="s">
        <v>15</v>
      </c>
      <c r="O236">
        <f>COUNTBLANK(tblbuyers[Income])</f>
        <v>0</v>
      </c>
      <c r="P236" t="str">
        <f>IF(tblbuyers[[#This Row],[Age]]&lt;30,"&lt;30",IF(tblbuyers[[#This Row],[Age]]&lt;=45,"30-45",IF(tblbuyers[[#This Row],[Age]]&lt;=60,"46-60","60+")))</f>
        <v>30-45</v>
      </c>
      <c r="Q236" t="str">
        <f>IF(tblbuyers[[#This Row],[Income]]&lt;30000,"Low",IF(tblbuyers[[#This Row],[Income]]&lt;=70000,"Medium","High"))</f>
        <v>High</v>
      </c>
      <c r="R236" s="7" t="str">
        <f>IF(OR(LOWER(TRIM(tblbuyers[[#This Row],[Purchased Bike]]))="yes",LOWER(TRIM(tblbuyers[[#This Row],[Purchased Bike]]))="y"),"Yes","No")</f>
        <v>Yes</v>
      </c>
    </row>
    <row r="237" spans="1:18"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c r="O237">
        <f>COUNTBLANK(tblbuyers[Income])</f>
        <v>0</v>
      </c>
      <c r="P237" t="str">
        <f>IF(tblbuyers[[#This Row],[Age]]&lt;30,"&lt;30",IF(tblbuyers[[#This Row],[Age]]&lt;=45,"30-45",IF(tblbuyers[[#This Row],[Age]]&lt;=60,"46-60","60+")))</f>
        <v>60+</v>
      </c>
      <c r="Q237" t="str">
        <f>IF(tblbuyers[[#This Row],[Income]]&lt;30000,"Low",IF(tblbuyers[[#This Row],[Income]]&lt;=70000,"Medium","High"))</f>
        <v>Low</v>
      </c>
      <c r="R237" s="7" t="str">
        <f>IF(OR(LOWER(TRIM(tblbuyers[[#This Row],[Purchased Bike]]))="yes",LOWER(TRIM(tblbuyers[[#This Row],[Purchased Bike]]))="y"),"Yes","No")</f>
        <v>Yes</v>
      </c>
    </row>
    <row r="238" spans="1:18"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c r="O238">
        <f>COUNTBLANK(tblbuyers[Income])</f>
        <v>0</v>
      </c>
      <c r="P238" t="str">
        <f>IF(tblbuyers[[#This Row],[Age]]&lt;30,"&lt;30",IF(tblbuyers[[#This Row],[Age]]&lt;=45,"30-45",IF(tblbuyers[[#This Row],[Age]]&lt;=60,"46-60","60+")))</f>
        <v>30-45</v>
      </c>
      <c r="Q238" t="str">
        <f>IF(tblbuyers[[#This Row],[Income]]&lt;30000,"Low",IF(tblbuyers[[#This Row],[Income]]&lt;=70000,"Medium","High"))</f>
        <v>Medium</v>
      </c>
      <c r="R238" s="7" t="str">
        <f>IF(OR(LOWER(TRIM(tblbuyers[[#This Row],[Purchased Bike]]))="yes",LOWER(TRIM(tblbuyers[[#This Row],[Purchased Bike]]))="y"),"Yes","No")</f>
        <v>Yes</v>
      </c>
    </row>
    <row r="239" spans="1:18"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c r="O239">
        <f>COUNTBLANK(tblbuyers[Income])</f>
        <v>0</v>
      </c>
      <c r="P239" t="str">
        <f>IF(tblbuyers[[#This Row],[Age]]&lt;30,"&lt;30",IF(tblbuyers[[#This Row],[Age]]&lt;=45,"30-45",IF(tblbuyers[[#This Row],[Age]]&lt;=60,"46-60","60+")))</f>
        <v>&lt;30</v>
      </c>
      <c r="Q239" t="str">
        <f>IF(tblbuyers[[#This Row],[Income]]&lt;30000,"Low",IF(tblbuyers[[#This Row],[Income]]&lt;=70000,"Medium","High"))</f>
        <v>Low</v>
      </c>
      <c r="R239" s="7" t="str">
        <f>IF(OR(LOWER(TRIM(tblbuyers[[#This Row],[Purchased Bike]]))="yes",LOWER(TRIM(tblbuyers[[#This Row],[Purchased Bike]]))="y"),"Yes","No")</f>
        <v>Yes</v>
      </c>
    </row>
    <row r="240" spans="1:18"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c r="O240">
        <f>COUNTBLANK(tblbuyers[Income])</f>
        <v>0</v>
      </c>
      <c r="P240" t="str">
        <f>IF(tblbuyers[[#This Row],[Age]]&lt;30,"&lt;30",IF(tblbuyers[[#This Row],[Age]]&lt;=45,"30-45",IF(tblbuyers[[#This Row],[Age]]&lt;=60,"46-60","60+")))</f>
        <v>46-60</v>
      </c>
      <c r="Q240" t="str">
        <f>IF(tblbuyers[[#This Row],[Income]]&lt;30000,"Low",IF(tblbuyers[[#This Row],[Income]]&lt;=70000,"Medium","High"))</f>
        <v>Medium</v>
      </c>
      <c r="R240" s="7" t="str">
        <f>IF(OR(LOWER(TRIM(tblbuyers[[#This Row],[Purchased Bike]]))="yes",LOWER(TRIM(tblbuyers[[#This Row],[Purchased Bike]]))="y"),"Yes","No")</f>
        <v>No</v>
      </c>
    </row>
    <row r="241" spans="1:18"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c r="O241">
        <f>COUNTBLANK(tblbuyers[Income])</f>
        <v>0</v>
      </c>
      <c r="P241" t="str">
        <f>IF(tblbuyers[[#This Row],[Age]]&lt;30,"&lt;30",IF(tblbuyers[[#This Row],[Age]]&lt;=45,"30-45",IF(tblbuyers[[#This Row],[Age]]&lt;=60,"46-60","60+")))</f>
        <v>30-45</v>
      </c>
      <c r="Q241" t="str">
        <f>IF(tblbuyers[[#This Row],[Income]]&lt;30000,"Low",IF(tblbuyers[[#This Row],[Income]]&lt;=70000,"Medium","High"))</f>
        <v>Medium</v>
      </c>
      <c r="R241" s="7" t="str">
        <f>IF(OR(LOWER(TRIM(tblbuyers[[#This Row],[Purchased Bike]]))="yes",LOWER(TRIM(tblbuyers[[#This Row],[Purchased Bike]]))="y"),"Yes","No")</f>
        <v>Yes</v>
      </c>
    </row>
    <row r="242" spans="1:18"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c r="O242">
        <f>COUNTBLANK(tblbuyers[Income])</f>
        <v>0</v>
      </c>
      <c r="P242" t="str">
        <f>IF(tblbuyers[[#This Row],[Age]]&lt;30,"&lt;30",IF(tblbuyers[[#This Row],[Age]]&lt;=45,"30-45",IF(tblbuyers[[#This Row],[Age]]&lt;=60,"46-60","60+")))</f>
        <v>30-45</v>
      </c>
      <c r="Q242" t="str">
        <f>IF(tblbuyers[[#This Row],[Income]]&lt;30000,"Low",IF(tblbuyers[[#This Row],[Income]]&lt;=70000,"Medium","High"))</f>
        <v>Low</v>
      </c>
      <c r="R242" s="7" t="str">
        <f>IF(OR(LOWER(TRIM(tblbuyers[[#This Row],[Purchased Bike]]))="yes",LOWER(TRIM(tblbuyers[[#This Row],[Purchased Bike]]))="y"),"Yes","No")</f>
        <v>No</v>
      </c>
    </row>
    <row r="243" spans="1:18"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c r="O243">
        <f>COUNTBLANK(tblbuyers[Income])</f>
        <v>0</v>
      </c>
      <c r="P243" t="str">
        <f>IF(tblbuyers[[#This Row],[Age]]&lt;30,"&lt;30",IF(tblbuyers[[#This Row],[Age]]&lt;=45,"30-45",IF(tblbuyers[[#This Row],[Age]]&lt;=60,"46-60","60+")))</f>
        <v>&lt;30</v>
      </c>
      <c r="Q243" t="str">
        <f>IF(tblbuyers[[#This Row],[Income]]&lt;30000,"Low",IF(tblbuyers[[#This Row],[Income]]&lt;=70000,"Medium","High"))</f>
        <v>Medium</v>
      </c>
      <c r="R243" s="7" t="str">
        <f>IF(OR(LOWER(TRIM(tblbuyers[[#This Row],[Purchased Bike]]))="yes",LOWER(TRIM(tblbuyers[[#This Row],[Purchased Bike]]))="y"),"Yes","No")</f>
        <v>No</v>
      </c>
    </row>
    <row r="244" spans="1:18"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c r="O244">
        <f>COUNTBLANK(tblbuyers[Income])</f>
        <v>0</v>
      </c>
      <c r="P244" t="str">
        <f>IF(tblbuyers[[#This Row],[Age]]&lt;30,"&lt;30",IF(tblbuyers[[#This Row],[Age]]&lt;=45,"30-45",IF(tblbuyers[[#This Row],[Age]]&lt;=60,"46-60","60+")))</f>
        <v>30-45</v>
      </c>
      <c r="Q244" t="str">
        <f>IF(tblbuyers[[#This Row],[Income]]&lt;30000,"Low",IF(tblbuyers[[#This Row],[Income]]&lt;=70000,"Medium","High"))</f>
        <v>Medium</v>
      </c>
      <c r="R244" s="7" t="str">
        <f>IF(OR(LOWER(TRIM(tblbuyers[[#This Row],[Purchased Bike]]))="yes",LOWER(TRIM(tblbuyers[[#This Row],[Purchased Bike]]))="y"),"Yes","No")</f>
        <v>Yes</v>
      </c>
    </row>
    <row r="245" spans="1:18"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c r="O245">
        <f>COUNTBLANK(tblbuyers[Income])</f>
        <v>0</v>
      </c>
      <c r="P245" t="str">
        <f>IF(tblbuyers[[#This Row],[Age]]&lt;30,"&lt;30",IF(tblbuyers[[#This Row],[Age]]&lt;=45,"30-45",IF(tblbuyers[[#This Row],[Age]]&lt;=60,"46-60","60+")))</f>
        <v>&lt;30</v>
      </c>
      <c r="Q245" t="str">
        <f>IF(tblbuyers[[#This Row],[Income]]&lt;30000,"Low",IF(tblbuyers[[#This Row],[Income]]&lt;=70000,"Medium","High"))</f>
        <v>Low</v>
      </c>
      <c r="R245" s="7" t="str">
        <f>IF(OR(LOWER(TRIM(tblbuyers[[#This Row],[Purchased Bike]]))="yes",LOWER(TRIM(tblbuyers[[#This Row],[Purchased Bike]]))="y"),"Yes","No")</f>
        <v>No</v>
      </c>
    </row>
    <row r="246" spans="1:18" x14ac:dyDescent="0.25">
      <c r="A246">
        <v>19057</v>
      </c>
      <c r="B246" t="s">
        <v>36</v>
      </c>
      <c r="C246" t="s">
        <v>38</v>
      </c>
      <c r="D246" s="3">
        <v>120000</v>
      </c>
      <c r="E246">
        <v>3</v>
      </c>
      <c r="F246" t="s">
        <v>13</v>
      </c>
      <c r="G246" t="s">
        <v>28</v>
      </c>
      <c r="H246" t="s">
        <v>18</v>
      </c>
      <c r="I246">
        <v>2</v>
      </c>
      <c r="J246" t="s">
        <v>30</v>
      </c>
      <c r="K246" t="s">
        <v>17</v>
      </c>
      <c r="L246">
        <v>52</v>
      </c>
      <c r="M246" t="str">
        <f t="shared" si="3"/>
        <v>Middle Age</v>
      </c>
      <c r="N246" t="s">
        <v>15</v>
      </c>
      <c r="O246">
        <f>COUNTBLANK(tblbuyers[Income])</f>
        <v>0</v>
      </c>
      <c r="P246" t="str">
        <f>IF(tblbuyers[[#This Row],[Age]]&lt;30,"&lt;30",IF(tblbuyers[[#This Row],[Age]]&lt;=45,"30-45",IF(tblbuyers[[#This Row],[Age]]&lt;=60,"46-60","60+")))</f>
        <v>46-60</v>
      </c>
      <c r="Q246" t="str">
        <f>IF(tblbuyers[[#This Row],[Income]]&lt;30000,"Low",IF(tblbuyers[[#This Row],[Income]]&lt;=70000,"Medium","High"))</f>
        <v>High</v>
      </c>
      <c r="R246" s="7" t="str">
        <f>IF(OR(LOWER(TRIM(tblbuyers[[#This Row],[Purchased Bike]]))="yes",LOWER(TRIM(tblbuyers[[#This Row],[Purchased Bike]]))="y"),"Yes","No")</f>
        <v>Yes</v>
      </c>
    </row>
    <row r="247" spans="1:18"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c r="O247">
        <f>COUNTBLANK(tblbuyers[Income])</f>
        <v>0</v>
      </c>
      <c r="P247" t="str">
        <f>IF(tblbuyers[[#This Row],[Age]]&lt;30,"&lt;30",IF(tblbuyers[[#This Row],[Age]]&lt;=45,"30-45",IF(tblbuyers[[#This Row],[Age]]&lt;=60,"46-60","60+")))</f>
        <v>46-60</v>
      </c>
      <c r="Q247" t="str">
        <f>IF(tblbuyers[[#This Row],[Income]]&lt;30000,"Low",IF(tblbuyers[[#This Row],[Income]]&lt;=70000,"Medium","High"))</f>
        <v>High</v>
      </c>
      <c r="R247" s="7" t="str">
        <f>IF(OR(LOWER(TRIM(tblbuyers[[#This Row],[Purchased Bike]]))="yes",LOWER(TRIM(tblbuyers[[#This Row],[Purchased Bike]]))="y"),"Yes","No")</f>
        <v>Yes</v>
      </c>
    </row>
    <row r="248" spans="1:18"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c r="O248">
        <f>COUNTBLANK(tblbuyers[Income])</f>
        <v>0</v>
      </c>
      <c r="P248" t="str">
        <f>IF(tblbuyers[[#This Row],[Age]]&lt;30,"&lt;30",IF(tblbuyers[[#This Row],[Age]]&lt;=45,"30-45",IF(tblbuyers[[#This Row],[Age]]&lt;=60,"46-60","60+")))</f>
        <v>46-60</v>
      </c>
      <c r="Q248" t="str">
        <f>IF(tblbuyers[[#This Row],[Income]]&lt;30000,"Low",IF(tblbuyers[[#This Row],[Income]]&lt;=70000,"Medium","High"))</f>
        <v>High</v>
      </c>
      <c r="R248" s="7" t="str">
        <f>IF(OR(LOWER(TRIM(tblbuyers[[#This Row],[Purchased Bike]]))="yes",LOWER(TRIM(tblbuyers[[#This Row],[Purchased Bike]]))="y"),"Yes","No")</f>
        <v>Yes</v>
      </c>
    </row>
    <row r="249" spans="1:18" x14ac:dyDescent="0.25">
      <c r="A249">
        <v>21568</v>
      </c>
      <c r="B249" t="s">
        <v>36</v>
      </c>
      <c r="C249" t="s">
        <v>38</v>
      </c>
      <c r="D249" s="3">
        <v>100000</v>
      </c>
      <c r="E249">
        <v>0</v>
      </c>
      <c r="F249" t="s">
        <v>27</v>
      </c>
      <c r="G249" t="s">
        <v>28</v>
      </c>
      <c r="H249" t="s">
        <v>15</v>
      </c>
      <c r="I249">
        <v>4</v>
      </c>
      <c r="J249" t="s">
        <v>30</v>
      </c>
      <c r="K249" t="s">
        <v>24</v>
      </c>
      <c r="L249">
        <v>34</v>
      </c>
      <c r="M249" t="str">
        <f t="shared" si="3"/>
        <v>Middle Age</v>
      </c>
      <c r="N249" t="s">
        <v>15</v>
      </c>
      <c r="O249">
        <f>COUNTBLANK(tblbuyers[Income])</f>
        <v>0</v>
      </c>
      <c r="P249" t="str">
        <f>IF(tblbuyers[[#This Row],[Age]]&lt;30,"&lt;30",IF(tblbuyers[[#This Row],[Age]]&lt;=45,"30-45",IF(tblbuyers[[#This Row],[Age]]&lt;=60,"46-60","60+")))</f>
        <v>30-45</v>
      </c>
      <c r="Q249" t="str">
        <f>IF(tblbuyers[[#This Row],[Income]]&lt;30000,"Low",IF(tblbuyers[[#This Row],[Income]]&lt;=70000,"Medium","High"))</f>
        <v>High</v>
      </c>
      <c r="R249" s="7" t="str">
        <f>IF(OR(LOWER(TRIM(tblbuyers[[#This Row],[Purchased Bike]]))="yes",LOWER(TRIM(tblbuyers[[#This Row],[Purchased Bike]]))="y"),"Yes","No")</f>
        <v>Yes</v>
      </c>
    </row>
    <row r="250" spans="1:18"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c r="O250">
        <f>COUNTBLANK(tblbuyers[Income])</f>
        <v>0</v>
      </c>
      <c r="P250" t="str">
        <f>IF(tblbuyers[[#This Row],[Age]]&lt;30,"&lt;30",IF(tblbuyers[[#This Row],[Age]]&lt;=45,"30-45",IF(tblbuyers[[#This Row],[Age]]&lt;=60,"46-60","60+")))</f>
        <v>60+</v>
      </c>
      <c r="Q250" t="str">
        <f>IF(tblbuyers[[#This Row],[Income]]&lt;30000,"Low",IF(tblbuyers[[#This Row],[Income]]&lt;=70000,"Medium","High"))</f>
        <v>Low</v>
      </c>
      <c r="R250" s="7" t="str">
        <f>IF(OR(LOWER(TRIM(tblbuyers[[#This Row],[Purchased Bike]]))="yes",LOWER(TRIM(tblbuyers[[#This Row],[Purchased Bike]]))="y"),"Yes","No")</f>
        <v>No</v>
      </c>
    </row>
    <row r="251" spans="1:18"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c r="O251">
        <f>COUNTBLANK(tblbuyers[Income])</f>
        <v>0</v>
      </c>
      <c r="P251" t="str">
        <f>IF(tblbuyers[[#This Row],[Age]]&lt;30,"&lt;30",IF(tblbuyers[[#This Row],[Age]]&lt;=45,"30-45",IF(tblbuyers[[#This Row],[Age]]&lt;=60,"46-60","60+")))</f>
        <v>30-45</v>
      </c>
      <c r="Q251" t="str">
        <f>IF(tblbuyers[[#This Row],[Income]]&lt;30000,"Low",IF(tblbuyers[[#This Row],[Income]]&lt;=70000,"Medium","High"))</f>
        <v>Medium</v>
      </c>
      <c r="R251" s="7" t="str">
        <f>IF(OR(LOWER(TRIM(tblbuyers[[#This Row],[Purchased Bike]]))="yes",LOWER(TRIM(tblbuyers[[#This Row],[Purchased Bike]]))="y"),"Yes","No")</f>
        <v>Yes</v>
      </c>
    </row>
    <row r="252" spans="1:18"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c r="O252">
        <f>COUNTBLANK(tblbuyers[Income])</f>
        <v>0</v>
      </c>
      <c r="P252" t="str">
        <f>IF(tblbuyers[[#This Row],[Age]]&lt;30,"&lt;30",IF(tblbuyers[[#This Row],[Age]]&lt;=45,"30-45",IF(tblbuyers[[#This Row],[Age]]&lt;=60,"46-60","60+")))</f>
        <v>60+</v>
      </c>
      <c r="Q252" t="str">
        <f>IF(tblbuyers[[#This Row],[Income]]&lt;30000,"Low",IF(tblbuyers[[#This Row],[Income]]&lt;=70000,"Medium","High"))</f>
        <v>High</v>
      </c>
      <c r="R252" s="7" t="str">
        <f>IF(OR(LOWER(TRIM(tblbuyers[[#This Row],[Purchased Bike]]))="yes",LOWER(TRIM(tblbuyers[[#This Row],[Purchased Bike]]))="y"),"Yes","No")</f>
        <v>Yes</v>
      </c>
    </row>
    <row r="253" spans="1:18"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c r="O253">
        <f>COUNTBLANK(tblbuyers[Income])</f>
        <v>0</v>
      </c>
      <c r="P253" t="str">
        <f>IF(tblbuyers[[#This Row],[Age]]&lt;30,"&lt;30",IF(tblbuyers[[#This Row],[Age]]&lt;=45,"30-45",IF(tblbuyers[[#This Row],[Age]]&lt;=60,"46-60","60+")))</f>
        <v>46-60</v>
      </c>
      <c r="Q253" t="str">
        <f>IF(tblbuyers[[#This Row],[Income]]&lt;30000,"Low",IF(tblbuyers[[#This Row],[Income]]&lt;=70000,"Medium","High"))</f>
        <v>High</v>
      </c>
      <c r="R253" s="7" t="str">
        <f>IF(OR(LOWER(TRIM(tblbuyers[[#This Row],[Purchased Bike]]))="yes",LOWER(TRIM(tblbuyers[[#This Row],[Purchased Bike]]))="y"),"Yes","No")</f>
        <v>No</v>
      </c>
    </row>
    <row r="254" spans="1:18"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c r="O254">
        <f>COUNTBLANK(tblbuyers[Income])</f>
        <v>0</v>
      </c>
      <c r="P254" t="str">
        <f>IF(tblbuyers[[#This Row],[Age]]&lt;30,"&lt;30",IF(tblbuyers[[#This Row],[Age]]&lt;=45,"30-45",IF(tblbuyers[[#This Row],[Age]]&lt;=60,"46-60","60+")))</f>
        <v>30-45</v>
      </c>
      <c r="Q254" t="str">
        <f>IF(tblbuyers[[#This Row],[Income]]&lt;30000,"Low",IF(tblbuyers[[#This Row],[Income]]&lt;=70000,"Medium","High"))</f>
        <v>Medium</v>
      </c>
      <c r="R254" s="7" t="str">
        <f>IF(OR(LOWER(TRIM(tblbuyers[[#This Row],[Purchased Bike]]))="yes",LOWER(TRIM(tblbuyers[[#This Row],[Purchased Bike]]))="y"),"Yes","No")</f>
        <v>No</v>
      </c>
    </row>
    <row r="255" spans="1:18"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c r="O255">
        <f>COUNTBLANK(tblbuyers[Income])</f>
        <v>0</v>
      </c>
      <c r="P255" t="str">
        <f>IF(tblbuyers[[#This Row],[Age]]&lt;30,"&lt;30",IF(tblbuyers[[#This Row],[Age]]&lt;=45,"30-45",IF(tblbuyers[[#This Row],[Age]]&lt;=60,"46-60","60+")))</f>
        <v>46-60</v>
      </c>
      <c r="Q255" t="str">
        <f>IF(tblbuyers[[#This Row],[Income]]&lt;30000,"Low",IF(tblbuyers[[#This Row],[Income]]&lt;=70000,"Medium","High"))</f>
        <v>High</v>
      </c>
      <c r="R255" s="7" t="str">
        <f>IF(OR(LOWER(TRIM(tblbuyers[[#This Row],[Purchased Bike]]))="yes",LOWER(TRIM(tblbuyers[[#This Row],[Purchased Bike]]))="y"),"Yes","No")</f>
        <v>Yes</v>
      </c>
    </row>
    <row r="256" spans="1:18"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c r="O256">
        <f>COUNTBLANK(tblbuyers[Income])</f>
        <v>0</v>
      </c>
      <c r="P256" t="str">
        <f>IF(tblbuyers[[#This Row],[Age]]&lt;30,"&lt;30",IF(tblbuyers[[#This Row],[Age]]&lt;=45,"30-45",IF(tblbuyers[[#This Row],[Age]]&lt;=60,"46-60","60+")))</f>
        <v>46-60</v>
      </c>
      <c r="Q256" t="str">
        <f>IF(tblbuyers[[#This Row],[Income]]&lt;30000,"Low",IF(tblbuyers[[#This Row],[Income]]&lt;=70000,"Medium","High"))</f>
        <v>Low</v>
      </c>
      <c r="R256" s="7" t="str">
        <f>IF(OR(LOWER(TRIM(tblbuyers[[#This Row],[Purchased Bike]]))="yes",LOWER(TRIM(tblbuyers[[#This Row],[Purchased Bike]]))="y"),"Yes","No")</f>
        <v>No</v>
      </c>
    </row>
    <row r="257" spans="1:18"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c r="O257">
        <f>COUNTBLANK(tblbuyers[Income])</f>
        <v>0</v>
      </c>
      <c r="P257" t="str">
        <f>IF(tblbuyers[[#This Row],[Age]]&lt;30,"&lt;30",IF(tblbuyers[[#This Row],[Age]]&lt;=45,"30-45",IF(tblbuyers[[#This Row],[Age]]&lt;=60,"46-60","60+")))</f>
        <v>46-60</v>
      </c>
      <c r="Q257" t="str">
        <f>IF(tblbuyers[[#This Row],[Income]]&lt;30000,"Low",IF(tblbuyers[[#This Row],[Income]]&lt;=70000,"Medium","High"))</f>
        <v>Medium</v>
      </c>
      <c r="R257" s="7" t="str">
        <f>IF(OR(LOWER(TRIM(tblbuyers[[#This Row],[Purchased Bike]]))="yes",LOWER(TRIM(tblbuyers[[#This Row],[Purchased Bike]]))="y"),"Yes","No")</f>
        <v>Yes</v>
      </c>
    </row>
    <row r="258" spans="1:18"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c r="O258">
        <f>COUNTBLANK(tblbuyers[Income])</f>
        <v>0</v>
      </c>
      <c r="P258" t="str">
        <f>IF(tblbuyers[[#This Row],[Age]]&lt;30,"&lt;30",IF(tblbuyers[[#This Row],[Age]]&lt;=45,"30-45",IF(tblbuyers[[#This Row],[Age]]&lt;=60,"46-60","60+")))</f>
        <v>30-45</v>
      </c>
      <c r="Q258" t="str">
        <f>IF(tblbuyers[[#This Row],[Income]]&lt;30000,"Low",IF(tblbuyers[[#This Row],[Income]]&lt;=70000,"Medium","High"))</f>
        <v>Low</v>
      </c>
      <c r="R258" s="7" t="str">
        <f>IF(OR(LOWER(TRIM(tblbuyers[[#This Row],[Purchased Bike]]))="yes",LOWER(TRIM(tblbuyers[[#This Row],[Purchased Bike]]))="y"),"Yes","No")</f>
        <v>No</v>
      </c>
    </row>
    <row r="259" spans="1:18"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c r="O259">
        <f>COUNTBLANK(tblbuyers[Income])</f>
        <v>0</v>
      </c>
      <c r="P259" t="str">
        <f>IF(tblbuyers[[#This Row],[Age]]&lt;30,"&lt;30",IF(tblbuyers[[#This Row],[Age]]&lt;=45,"30-45",IF(tblbuyers[[#This Row],[Age]]&lt;=60,"46-60","60+")))</f>
        <v>30-45</v>
      </c>
      <c r="Q259" t="str">
        <f>IF(tblbuyers[[#This Row],[Income]]&lt;30000,"Low",IF(tblbuyers[[#This Row],[Income]]&lt;=70000,"Medium","High"))</f>
        <v>Medium</v>
      </c>
      <c r="R259" s="7" t="str">
        <f>IF(OR(LOWER(TRIM(tblbuyers[[#This Row],[Purchased Bike]]))="yes",LOWER(TRIM(tblbuyers[[#This Row],[Purchased Bike]]))="y"),"Yes","No")</f>
        <v>Yes</v>
      </c>
    </row>
    <row r="260" spans="1:18"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c r="O260">
        <f>COUNTBLANK(tblbuyers[Income])</f>
        <v>0</v>
      </c>
      <c r="P260" t="str">
        <f>IF(tblbuyers[[#This Row],[Age]]&lt;30,"&lt;30",IF(tblbuyers[[#This Row],[Age]]&lt;=45,"30-45",IF(tblbuyers[[#This Row],[Age]]&lt;=60,"46-60","60+")))</f>
        <v>46-60</v>
      </c>
      <c r="Q260" t="str">
        <f>IF(tblbuyers[[#This Row],[Income]]&lt;30000,"Low",IF(tblbuyers[[#This Row],[Income]]&lt;=70000,"Medium","High"))</f>
        <v>High</v>
      </c>
      <c r="R260" s="7" t="str">
        <f>IF(OR(LOWER(TRIM(tblbuyers[[#This Row],[Purchased Bike]]))="yes",LOWER(TRIM(tblbuyers[[#This Row],[Purchased Bike]]))="y"),"Yes","No")</f>
        <v>No</v>
      </c>
    </row>
    <row r="261" spans="1:18"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c r="O261">
        <f>COUNTBLANK(tblbuyers[Income])</f>
        <v>0</v>
      </c>
      <c r="P261" t="str">
        <f>IF(tblbuyers[[#This Row],[Age]]&lt;30,"&lt;30",IF(tblbuyers[[#This Row],[Age]]&lt;=45,"30-45",IF(tblbuyers[[#This Row],[Age]]&lt;=60,"46-60","60+")))</f>
        <v>30-45</v>
      </c>
      <c r="Q261" t="str">
        <f>IF(tblbuyers[[#This Row],[Income]]&lt;30000,"Low",IF(tblbuyers[[#This Row],[Income]]&lt;=70000,"Medium","High"))</f>
        <v>High</v>
      </c>
      <c r="R261" s="7" t="str">
        <f>IF(OR(LOWER(TRIM(tblbuyers[[#This Row],[Purchased Bike]]))="yes",LOWER(TRIM(tblbuyers[[#This Row],[Purchased Bike]]))="y"),"Yes","No")</f>
        <v>Yes</v>
      </c>
    </row>
    <row r="262" spans="1:18"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c r="O262">
        <f>COUNTBLANK(tblbuyers[Income])</f>
        <v>0</v>
      </c>
      <c r="P262" t="str">
        <f>IF(tblbuyers[[#This Row],[Age]]&lt;30,"&lt;30",IF(tblbuyers[[#This Row],[Age]]&lt;=45,"30-45",IF(tblbuyers[[#This Row],[Age]]&lt;=60,"46-60","60+")))</f>
        <v>30-45</v>
      </c>
      <c r="Q262" t="str">
        <f>IF(tblbuyers[[#This Row],[Income]]&lt;30000,"Low",IF(tblbuyers[[#This Row],[Income]]&lt;=70000,"Medium","High"))</f>
        <v>Medium</v>
      </c>
      <c r="R262" s="7" t="str">
        <f>IF(OR(LOWER(TRIM(tblbuyers[[#This Row],[Purchased Bike]]))="yes",LOWER(TRIM(tblbuyers[[#This Row],[Purchased Bike]]))="y"),"Yes","No")</f>
        <v>No</v>
      </c>
    </row>
    <row r="263" spans="1:18"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c r="O263">
        <f>COUNTBLANK(tblbuyers[Income])</f>
        <v>0</v>
      </c>
      <c r="P263" t="str">
        <f>IF(tblbuyers[[#This Row],[Age]]&lt;30,"&lt;30",IF(tblbuyers[[#This Row],[Age]]&lt;=45,"30-45",IF(tblbuyers[[#This Row],[Age]]&lt;=60,"46-60","60+")))</f>
        <v>30-45</v>
      </c>
      <c r="Q263" t="str">
        <f>IF(tblbuyers[[#This Row],[Income]]&lt;30000,"Low",IF(tblbuyers[[#This Row],[Income]]&lt;=70000,"Medium","High"))</f>
        <v>Medium</v>
      </c>
      <c r="R263" s="7" t="str">
        <f>IF(OR(LOWER(TRIM(tblbuyers[[#This Row],[Purchased Bike]]))="yes",LOWER(TRIM(tblbuyers[[#This Row],[Purchased Bike]]))="y"),"Yes","No")</f>
        <v>Yes</v>
      </c>
    </row>
    <row r="264" spans="1:18"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c r="O264">
        <f>COUNTBLANK(tblbuyers[Income])</f>
        <v>0</v>
      </c>
      <c r="P264" t="str">
        <f>IF(tblbuyers[[#This Row],[Age]]&lt;30,"&lt;30",IF(tblbuyers[[#This Row],[Age]]&lt;=45,"30-45",IF(tblbuyers[[#This Row],[Age]]&lt;=60,"46-60","60+")))</f>
        <v>46-60</v>
      </c>
      <c r="Q264" t="str">
        <f>IF(tblbuyers[[#This Row],[Income]]&lt;30000,"Low",IF(tblbuyers[[#This Row],[Income]]&lt;=70000,"Medium","High"))</f>
        <v>Low</v>
      </c>
      <c r="R264" s="7" t="str">
        <f>IF(OR(LOWER(TRIM(tblbuyers[[#This Row],[Purchased Bike]]))="yes",LOWER(TRIM(tblbuyers[[#This Row],[Purchased Bike]]))="y"),"Yes","No")</f>
        <v>No</v>
      </c>
    </row>
    <row r="265" spans="1:18"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c r="O265">
        <f>COUNTBLANK(tblbuyers[Income])</f>
        <v>0</v>
      </c>
      <c r="P265" t="str">
        <f>IF(tblbuyers[[#This Row],[Age]]&lt;30,"&lt;30",IF(tblbuyers[[#This Row],[Age]]&lt;=45,"30-45",IF(tblbuyers[[#This Row],[Age]]&lt;=60,"46-60","60+")))</f>
        <v>30-45</v>
      </c>
      <c r="Q265" t="str">
        <f>IF(tblbuyers[[#This Row],[Income]]&lt;30000,"Low",IF(tblbuyers[[#This Row],[Income]]&lt;=70000,"Medium","High"))</f>
        <v>Medium</v>
      </c>
      <c r="R265" s="7" t="str">
        <f>IF(OR(LOWER(TRIM(tblbuyers[[#This Row],[Purchased Bike]]))="yes",LOWER(TRIM(tblbuyers[[#This Row],[Purchased Bike]]))="y"),"Yes","No")</f>
        <v>No</v>
      </c>
    </row>
    <row r="266" spans="1:18"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c r="O266">
        <f>COUNTBLANK(tblbuyers[Income])</f>
        <v>0</v>
      </c>
      <c r="P266" t="str">
        <f>IF(tblbuyers[[#This Row],[Age]]&lt;30,"&lt;30",IF(tblbuyers[[#This Row],[Age]]&lt;=45,"30-45",IF(tblbuyers[[#This Row],[Age]]&lt;=60,"46-60","60+")))</f>
        <v>30-45</v>
      </c>
      <c r="Q266" t="str">
        <f>IF(tblbuyers[[#This Row],[Income]]&lt;30000,"Low",IF(tblbuyers[[#This Row],[Income]]&lt;=70000,"Medium","High"))</f>
        <v>Medium</v>
      </c>
      <c r="R266" s="7" t="str">
        <f>IF(OR(LOWER(TRIM(tblbuyers[[#This Row],[Purchased Bike]]))="yes",LOWER(TRIM(tblbuyers[[#This Row],[Purchased Bike]]))="y"),"Yes","No")</f>
        <v>Yes</v>
      </c>
    </row>
    <row r="267" spans="1:18"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c r="O267">
        <f>COUNTBLANK(tblbuyers[Income])</f>
        <v>0</v>
      </c>
      <c r="P267" t="str">
        <f>IF(tblbuyers[[#This Row],[Age]]&lt;30,"&lt;30",IF(tblbuyers[[#This Row],[Age]]&lt;=45,"30-45",IF(tblbuyers[[#This Row],[Age]]&lt;=60,"46-60","60+")))</f>
        <v>30-45</v>
      </c>
      <c r="Q267" t="str">
        <f>IF(tblbuyers[[#This Row],[Income]]&lt;30000,"Low",IF(tblbuyers[[#This Row],[Income]]&lt;=70000,"Medium","High"))</f>
        <v>Medium</v>
      </c>
      <c r="R267" s="7" t="str">
        <f>IF(OR(LOWER(TRIM(tblbuyers[[#This Row],[Purchased Bike]]))="yes",LOWER(TRIM(tblbuyers[[#This Row],[Purchased Bike]]))="y"),"Yes","No")</f>
        <v>No</v>
      </c>
    </row>
    <row r="268" spans="1:18"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c r="O268">
        <f>COUNTBLANK(tblbuyers[Income])</f>
        <v>0</v>
      </c>
      <c r="P268" t="str">
        <f>IF(tblbuyers[[#This Row],[Age]]&lt;30,"&lt;30",IF(tblbuyers[[#This Row],[Age]]&lt;=45,"30-45",IF(tblbuyers[[#This Row],[Age]]&lt;=60,"46-60","60+")))</f>
        <v>&lt;30</v>
      </c>
      <c r="Q268" t="str">
        <f>IF(tblbuyers[[#This Row],[Income]]&lt;30000,"Low",IF(tblbuyers[[#This Row],[Income]]&lt;=70000,"Medium","High"))</f>
        <v>Low</v>
      </c>
      <c r="R268" s="7" t="str">
        <f>IF(OR(LOWER(TRIM(tblbuyers[[#This Row],[Purchased Bike]]))="yes",LOWER(TRIM(tblbuyers[[#This Row],[Purchased Bike]]))="y"),"Yes","No")</f>
        <v>No</v>
      </c>
    </row>
    <row r="269" spans="1:18"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c r="O269">
        <f>COUNTBLANK(tblbuyers[Income])</f>
        <v>0</v>
      </c>
      <c r="P269" t="str">
        <f>IF(tblbuyers[[#This Row],[Age]]&lt;30,"&lt;30",IF(tblbuyers[[#This Row],[Age]]&lt;=45,"30-45",IF(tblbuyers[[#This Row],[Age]]&lt;=60,"46-60","60+")))</f>
        <v>46-60</v>
      </c>
      <c r="Q269" t="str">
        <f>IF(tblbuyers[[#This Row],[Income]]&lt;30000,"Low",IF(tblbuyers[[#This Row],[Income]]&lt;=70000,"Medium","High"))</f>
        <v>High</v>
      </c>
      <c r="R269" s="7" t="str">
        <f>IF(OR(LOWER(TRIM(tblbuyers[[#This Row],[Purchased Bike]]))="yes",LOWER(TRIM(tblbuyers[[#This Row],[Purchased Bike]]))="y"),"Yes","No")</f>
        <v>Yes</v>
      </c>
    </row>
    <row r="270" spans="1:18"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c r="O270">
        <f>COUNTBLANK(tblbuyers[Income])</f>
        <v>0</v>
      </c>
      <c r="P270" t="str">
        <f>IF(tblbuyers[[#This Row],[Age]]&lt;30,"&lt;30",IF(tblbuyers[[#This Row],[Age]]&lt;=45,"30-45",IF(tblbuyers[[#This Row],[Age]]&lt;=60,"46-60","60+")))</f>
        <v>30-45</v>
      </c>
      <c r="Q270" t="str">
        <f>IF(tblbuyers[[#This Row],[Income]]&lt;30000,"Low",IF(tblbuyers[[#This Row],[Income]]&lt;=70000,"Medium","High"))</f>
        <v>Medium</v>
      </c>
      <c r="R270" s="7" t="str">
        <f>IF(OR(LOWER(TRIM(tblbuyers[[#This Row],[Purchased Bike]]))="yes",LOWER(TRIM(tblbuyers[[#This Row],[Purchased Bike]]))="y"),"Yes","No")</f>
        <v>No</v>
      </c>
    </row>
    <row r="271" spans="1:18"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c r="O271">
        <f>COUNTBLANK(tblbuyers[Income])</f>
        <v>0</v>
      </c>
      <c r="P271" t="str">
        <f>IF(tblbuyers[[#This Row],[Age]]&lt;30,"&lt;30",IF(tblbuyers[[#This Row],[Age]]&lt;=45,"30-45",IF(tblbuyers[[#This Row],[Age]]&lt;=60,"46-60","60+")))</f>
        <v>30-45</v>
      </c>
      <c r="Q271" t="str">
        <f>IF(tblbuyers[[#This Row],[Income]]&lt;30000,"Low",IF(tblbuyers[[#This Row],[Income]]&lt;=70000,"Medium","High"))</f>
        <v>Medium</v>
      </c>
      <c r="R271" s="7" t="str">
        <f>IF(OR(LOWER(TRIM(tblbuyers[[#This Row],[Purchased Bike]]))="yes",LOWER(TRIM(tblbuyers[[#This Row],[Purchased Bike]]))="y"),"Yes","No")</f>
        <v>Yes</v>
      </c>
    </row>
    <row r="272" spans="1:18"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c r="O272">
        <f>COUNTBLANK(tblbuyers[Income])</f>
        <v>0</v>
      </c>
      <c r="P272" t="str">
        <f>IF(tblbuyers[[#This Row],[Age]]&lt;30,"&lt;30",IF(tblbuyers[[#This Row],[Age]]&lt;=45,"30-45",IF(tblbuyers[[#This Row],[Age]]&lt;=60,"46-60","60+")))</f>
        <v>46-60</v>
      </c>
      <c r="Q272" t="str">
        <f>IF(tblbuyers[[#This Row],[Income]]&lt;30000,"Low",IF(tblbuyers[[#This Row],[Income]]&lt;=70000,"Medium","High"))</f>
        <v>Low</v>
      </c>
      <c r="R272" s="7" t="str">
        <f>IF(OR(LOWER(TRIM(tblbuyers[[#This Row],[Purchased Bike]]))="yes",LOWER(TRIM(tblbuyers[[#This Row],[Purchased Bike]]))="y"),"Yes","No")</f>
        <v>Yes</v>
      </c>
    </row>
    <row r="273" spans="1:18"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c r="O273">
        <f>COUNTBLANK(tblbuyers[Income])</f>
        <v>0</v>
      </c>
      <c r="P273" t="str">
        <f>IF(tblbuyers[[#This Row],[Age]]&lt;30,"&lt;30",IF(tblbuyers[[#This Row],[Age]]&lt;=45,"30-45",IF(tblbuyers[[#This Row],[Age]]&lt;=60,"46-60","60+")))</f>
        <v>&lt;30</v>
      </c>
      <c r="Q273" t="str">
        <f>IF(tblbuyers[[#This Row],[Income]]&lt;30000,"Low",IF(tblbuyers[[#This Row],[Income]]&lt;=70000,"Medium","High"))</f>
        <v>Low</v>
      </c>
      <c r="R273" s="7" t="str">
        <f>IF(OR(LOWER(TRIM(tblbuyers[[#This Row],[Purchased Bike]]))="yes",LOWER(TRIM(tblbuyers[[#This Row],[Purchased Bike]]))="y"),"Yes","No")</f>
        <v>No</v>
      </c>
    </row>
    <row r="274" spans="1:18"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c r="O274">
        <f>COUNTBLANK(tblbuyers[Income])</f>
        <v>0</v>
      </c>
      <c r="P274" t="str">
        <f>IF(tblbuyers[[#This Row],[Age]]&lt;30,"&lt;30",IF(tblbuyers[[#This Row],[Age]]&lt;=45,"30-45",IF(tblbuyers[[#This Row],[Age]]&lt;=60,"46-60","60+")))</f>
        <v>30-45</v>
      </c>
      <c r="Q274" t="str">
        <f>IF(tblbuyers[[#This Row],[Income]]&lt;30000,"Low",IF(tblbuyers[[#This Row],[Income]]&lt;=70000,"Medium","High"))</f>
        <v>Low</v>
      </c>
      <c r="R274" s="7" t="str">
        <f>IF(OR(LOWER(TRIM(tblbuyers[[#This Row],[Purchased Bike]]))="yes",LOWER(TRIM(tblbuyers[[#This Row],[Purchased Bike]]))="y"),"Yes","No")</f>
        <v>Yes</v>
      </c>
    </row>
    <row r="275" spans="1:18"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c r="O275">
        <f>COUNTBLANK(tblbuyers[Income])</f>
        <v>0</v>
      </c>
      <c r="P275" t="str">
        <f>IF(tblbuyers[[#This Row],[Age]]&lt;30,"&lt;30",IF(tblbuyers[[#This Row],[Age]]&lt;=45,"30-45",IF(tblbuyers[[#This Row],[Age]]&lt;=60,"46-60","60+")))</f>
        <v>30-45</v>
      </c>
      <c r="Q275" t="str">
        <f>IF(tblbuyers[[#This Row],[Income]]&lt;30000,"Low",IF(tblbuyers[[#This Row],[Income]]&lt;=70000,"Medium","High"))</f>
        <v>Low</v>
      </c>
      <c r="R275" s="7" t="str">
        <f>IF(OR(LOWER(TRIM(tblbuyers[[#This Row],[Purchased Bike]]))="yes",LOWER(TRIM(tblbuyers[[#This Row],[Purchased Bike]]))="y"),"Yes","No")</f>
        <v>No</v>
      </c>
    </row>
    <row r="276" spans="1:18"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c r="O276">
        <f>COUNTBLANK(tblbuyers[Income])</f>
        <v>0</v>
      </c>
      <c r="P276" t="str">
        <f>IF(tblbuyers[[#This Row],[Age]]&lt;30,"&lt;30",IF(tblbuyers[[#This Row],[Age]]&lt;=45,"30-45",IF(tblbuyers[[#This Row],[Age]]&lt;=60,"46-60","60+")))</f>
        <v>30-45</v>
      </c>
      <c r="Q276" t="str">
        <f>IF(tblbuyers[[#This Row],[Income]]&lt;30000,"Low",IF(tblbuyers[[#This Row],[Income]]&lt;=70000,"Medium","High"))</f>
        <v>Medium</v>
      </c>
      <c r="R276" s="7" t="str">
        <f>IF(OR(LOWER(TRIM(tblbuyers[[#This Row],[Purchased Bike]]))="yes",LOWER(TRIM(tblbuyers[[#This Row],[Purchased Bike]]))="y"),"Yes","No")</f>
        <v>Yes</v>
      </c>
    </row>
    <row r="277" spans="1:18"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c r="O277">
        <f>COUNTBLANK(tblbuyers[Income])</f>
        <v>0</v>
      </c>
      <c r="P277" t="str">
        <f>IF(tblbuyers[[#This Row],[Age]]&lt;30,"&lt;30",IF(tblbuyers[[#This Row],[Age]]&lt;=45,"30-45",IF(tblbuyers[[#This Row],[Age]]&lt;=60,"46-60","60+")))</f>
        <v>30-45</v>
      </c>
      <c r="Q277" t="str">
        <f>IF(tblbuyers[[#This Row],[Income]]&lt;30000,"Low",IF(tblbuyers[[#This Row],[Income]]&lt;=70000,"Medium","High"))</f>
        <v>High</v>
      </c>
      <c r="R277" s="7" t="str">
        <f>IF(OR(LOWER(TRIM(tblbuyers[[#This Row],[Purchased Bike]]))="yes",LOWER(TRIM(tblbuyers[[#This Row],[Purchased Bike]]))="y"),"Yes","No")</f>
        <v>Yes</v>
      </c>
    </row>
    <row r="278" spans="1:18"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c r="O278">
        <f>COUNTBLANK(tblbuyers[Income])</f>
        <v>0</v>
      </c>
      <c r="P278" t="str">
        <f>IF(tblbuyers[[#This Row],[Age]]&lt;30,"&lt;30",IF(tblbuyers[[#This Row],[Age]]&lt;=45,"30-45",IF(tblbuyers[[#This Row],[Age]]&lt;=60,"46-60","60+")))</f>
        <v>46-60</v>
      </c>
      <c r="Q278" t="str">
        <f>IF(tblbuyers[[#This Row],[Income]]&lt;30000,"Low",IF(tblbuyers[[#This Row],[Income]]&lt;=70000,"Medium","High"))</f>
        <v>Low</v>
      </c>
      <c r="R278" s="7" t="str">
        <f>IF(OR(LOWER(TRIM(tblbuyers[[#This Row],[Purchased Bike]]))="yes",LOWER(TRIM(tblbuyers[[#This Row],[Purchased Bike]]))="y"),"Yes","No")</f>
        <v>No</v>
      </c>
    </row>
    <row r="279" spans="1:18"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c r="O279">
        <f>COUNTBLANK(tblbuyers[Income])</f>
        <v>0</v>
      </c>
      <c r="P279" t="str">
        <f>IF(tblbuyers[[#This Row],[Age]]&lt;30,"&lt;30",IF(tblbuyers[[#This Row],[Age]]&lt;=45,"30-45",IF(tblbuyers[[#This Row],[Age]]&lt;=60,"46-60","60+")))</f>
        <v>30-45</v>
      </c>
      <c r="Q279" t="str">
        <f>IF(tblbuyers[[#This Row],[Income]]&lt;30000,"Low",IF(tblbuyers[[#This Row],[Income]]&lt;=70000,"Medium","High"))</f>
        <v>Low</v>
      </c>
      <c r="R279" s="7" t="str">
        <f>IF(OR(LOWER(TRIM(tblbuyers[[#This Row],[Purchased Bike]]))="yes",LOWER(TRIM(tblbuyers[[#This Row],[Purchased Bike]]))="y"),"Yes","No")</f>
        <v>Yes</v>
      </c>
    </row>
    <row r="280" spans="1:18" x14ac:dyDescent="0.25">
      <c r="A280">
        <v>20625</v>
      </c>
      <c r="B280" t="s">
        <v>36</v>
      </c>
      <c r="C280" t="s">
        <v>39</v>
      </c>
      <c r="D280" s="3">
        <v>100000</v>
      </c>
      <c r="E280">
        <v>0</v>
      </c>
      <c r="F280" t="s">
        <v>27</v>
      </c>
      <c r="G280" t="s">
        <v>28</v>
      </c>
      <c r="H280" t="s">
        <v>15</v>
      </c>
      <c r="I280">
        <v>3</v>
      </c>
      <c r="J280" t="s">
        <v>30</v>
      </c>
      <c r="K280" t="s">
        <v>24</v>
      </c>
      <c r="L280">
        <v>35</v>
      </c>
      <c r="M280" t="str">
        <f t="shared" si="4"/>
        <v>Middle Age</v>
      </c>
      <c r="N280" t="s">
        <v>15</v>
      </c>
      <c r="O280">
        <f>COUNTBLANK(tblbuyers[Income])</f>
        <v>0</v>
      </c>
      <c r="P280" t="str">
        <f>IF(tblbuyers[[#This Row],[Age]]&lt;30,"&lt;30",IF(tblbuyers[[#This Row],[Age]]&lt;=45,"30-45",IF(tblbuyers[[#This Row],[Age]]&lt;=60,"46-60","60+")))</f>
        <v>30-45</v>
      </c>
      <c r="Q280" t="str">
        <f>IF(tblbuyers[[#This Row],[Income]]&lt;30000,"Low",IF(tblbuyers[[#This Row],[Income]]&lt;=70000,"Medium","High"))</f>
        <v>High</v>
      </c>
      <c r="R280" s="7" t="str">
        <f>IF(OR(LOWER(TRIM(tblbuyers[[#This Row],[Purchased Bike]]))="yes",LOWER(TRIM(tblbuyers[[#This Row],[Purchased Bike]]))="y"),"Yes","No")</f>
        <v>Yes</v>
      </c>
    </row>
    <row r="281" spans="1:18"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c r="O281">
        <f>COUNTBLANK(tblbuyers[Income])</f>
        <v>0</v>
      </c>
      <c r="P281" t="str">
        <f>IF(tblbuyers[[#This Row],[Age]]&lt;30,"&lt;30",IF(tblbuyers[[#This Row],[Age]]&lt;=45,"30-45",IF(tblbuyers[[#This Row],[Age]]&lt;=60,"46-60","60+")))</f>
        <v>30-45</v>
      </c>
      <c r="Q281" t="str">
        <f>IF(tblbuyers[[#This Row],[Income]]&lt;30000,"Low",IF(tblbuyers[[#This Row],[Income]]&lt;=70000,"Medium","High"))</f>
        <v>Medium</v>
      </c>
      <c r="R281" s="7" t="str">
        <f>IF(OR(LOWER(TRIM(tblbuyers[[#This Row],[Purchased Bike]]))="yes",LOWER(TRIM(tblbuyers[[#This Row],[Purchased Bike]]))="y"),"Yes","No")</f>
        <v>Yes</v>
      </c>
    </row>
    <row r="282" spans="1:18"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c r="O282">
        <f>COUNTBLANK(tblbuyers[Income])</f>
        <v>0</v>
      </c>
      <c r="P282" t="str">
        <f>IF(tblbuyers[[#This Row],[Age]]&lt;30,"&lt;30",IF(tblbuyers[[#This Row],[Age]]&lt;=45,"30-45",IF(tblbuyers[[#This Row],[Age]]&lt;=60,"46-60","60+")))</f>
        <v>30-45</v>
      </c>
      <c r="Q282" t="str">
        <f>IF(tblbuyers[[#This Row],[Income]]&lt;30000,"Low",IF(tblbuyers[[#This Row],[Income]]&lt;=70000,"Medium","High"))</f>
        <v>Low</v>
      </c>
      <c r="R282" s="7" t="str">
        <f>IF(OR(LOWER(TRIM(tblbuyers[[#This Row],[Purchased Bike]]))="yes",LOWER(TRIM(tblbuyers[[#This Row],[Purchased Bike]]))="y"),"Yes","No")</f>
        <v>No</v>
      </c>
    </row>
    <row r="283" spans="1:18"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c r="O283">
        <f>COUNTBLANK(tblbuyers[Income])</f>
        <v>0</v>
      </c>
      <c r="P283" t="str">
        <f>IF(tblbuyers[[#This Row],[Age]]&lt;30,"&lt;30",IF(tblbuyers[[#This Row],[Age]]&lt;=45,"30-45",IF(tblbuyers[[#This Row],[Age]]&lt;=60,"46-60","60+")))</f>
        <v>30-45</v>
      </c>
      <c r="Q283" t="str">
        <f>IF(tblbuyers[[#This Row],[Income]]&lt;30000,"Low",IF(tblbuyers[[#This Row],[Income]]&lt;=70000,"Medium","High"))</f>
        <v>Low</v>
      </c>
      <c r="R283" s="7" t="str">
        <f>IF(OR(LOWER(TRIM(tblbuyers[[#This Row],[Purchased Bike]]))="yes",LOWER(TRIM(tblbuyers[[#This Row],[Purchased Bike]]))="y"),"Yes","No")</f>
        <v>No</v>
      </c>
    </row>
    <row r="284" spans="1:18"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c r="O284">
        <f>COUNTBLANK(tblbuyers[Income])</f>
        <v>0</v>
      </c>
      <c r="P284" t="str">
        <f>IF(tblbuyers[[#This Row],[Age]]&lt;30,"&lt;30",IF(tblbuyers[[#This Row],[Age]]&lt;=45,"30-45",IF(tblbuyers[[#This Row],[Age]]&lt;=60,"46-60","60+")))</f>
        <v>30-45</v>
      </c>
      <c r="Q284" t="str">
        <f>IF(tblbuyers[[#This Row],[Income]]&lt;30000,"Low",IF(tblbuyers[[#This Row],[Income]]&lt;=70000,"Medium","High"))</f>
        <v>Low</v>
      </c>
      <c r="R284" s="7" t="str">
        <f>IF(OR(LOWER(TRIM(tblbuyers[[#This Row],[Purchased Bike]]))="yes",LOWER(TRIM(tblbuyers[[#This Row],[Purchased Bike]]))="y"),"Yes","No")</f>
        <v>No</v>
      </c>
    </row>
    <row r="285" spans="1:18"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c r="O285">
        <f>COUNTBLANK(tblbuyers[Income])</f>
        <v>0</v>
      </c>
      <c r="P285" t="str">
        <f>IF(tblbuyers[[#This Row],[Age]]&lt;30,"&lt;30",IF(tblbuyers[[#This Row],[Age]]&lt;=45,"30-45",IF(tblbuyers[[#This Row],[Age]]&lt;=60,"46-60","60+")))</f>
        <v>46-60</v>
      </c>
      <c r="Q285" t="str">
        <f>IF(tblbuyers[[#This Row],[Income]]&lt;30000,"Low",IF(tblbuyers[[#This Row],[Income]]&lt;=70000,"Medium","High"))</f>
        <v>Medium</v>
      </c>
      <c r="R285" s="7" t="str">
        <f>IF(OR(LOWER(TRIM(tblbuyers[[#This Row],[Purchased Bike]]))="yes",LOWER(TRIM(tblbuyers[[#This Row],[Purchased Bike]]))="y"),"Yes","No")</f>
        <v>No</v>
      </c>
    </row>
    <row r="286" spans="1:18"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c r="O286">
        <f>COUNTBLANK(tblbuyers[Income])</f>
        <v>0</v>
      </c>
      <c r="P286" t="str">
        <f>IF(tblbuyers[[#This Row],[Age]]&lt;30,"&lt;30",IF(tblbuyers[[#This Row],[Age]]&lt;=45,"30-45",IF(tblbuyers[[#This Row],[Age]]&lt;=60,"46-60","60+")))</f>
        <v>46-60</v>
      </c>
      <c r="Q286" t="str">
        <f>IF(tblbuyers[[#This Row],[Income]]&lt;30000,"Low",IF(tblbuyers[[#This Row],[Income]]&lt;=70000,"Medium","High"))</f>
        <v>Low</v>
      </c>
      <c r="R286" s="7" t="str">
        <f>IF(OR(LOWER(TRIM(tblbuyers[[#This Row],[Purchased Bike]]))="yes",LOWER(TRIM(tblbuyers[[#This Row],[Purchased Bike]]))="y"),"Yes","No")</f>
        <v>No</v>
      </c>
    </row>
    <row r="287" spans="1:18"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c r="O287">
        <f>COUNTBLANK(tblbuyers[Income])</f>
        <v>0</v>
      </c>
      <c r="P287" t="str">
        <f>IF(tblbuyers[[#This Row],[Age]]&lt;30,"&lt;30",IF(tblbuyers[[#This Row],[Age]]&lt;=45,"30-45",IF(tblbuyers[[#This Row],[Age]]&lt;=60,"46-60","60+")))</f>
        <v>30-45</v>
      </c>
      <c r="Q287" t="str">
        <f>IF(tblbuyers[[#This Row],[Income]]&lt;30000,"Low",IF(tblbuyers[[#This Row],[Income]]&lt;=70000,"Medium","High"))</f>
        <v>Medium</v>
      </c>
      <c r="R287" s="7" t="str">
        <f>IF(OR(LOWER(TRIM(tblbuyers[[#This Row],[Purchased Bike]]))="yes",LOWER(TRIM(tblbuyers[[#This Row],[Purchased Bike]]))="y"),"Yes","No")</f>
        <v>No</v>
      </c>
    </row>
    <row r="288" spans="1:18"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c r="O288">
        <f>COUNTBLANK(tblbuyers[Income])</f>
        <v>0</v>
      </c>
      <c r="P288" t="str">
        <f>IF(tblbuyers[[#This Row],[Age]]&lt;30,"&lt;30",IF(tblbuyers[[#This Row],[Age]]&lt;=45,"30-45",IF(tblbuyers[[#This Row],[Age]]&lt;=60,"46-60","60+")))</f>
        <v>46-60</v>
      </c>
      <c r="Q288" t="str">
        <f>IF(tblbuyers[[#This Row],[Income]]&lt;30000,"Low",IF(tblbuyers[[#This Row],[Income]]&lt;=70000,"Medium","High"))</f>
        <v>High</v>
      </c>
      <c r="R288" s="7" t="str">
        <f>IF(OR(LOWER(TRIM(tblbuyers[[#This Row],[Purchased Bike]]))="yes",LOWER(TRIM(tblbuyers[[#This Row],[Purchased Bike]]))="y"),"Yes","No")</f>
        <v>No</v>
      </c>
    </row>
    <row r="289" spans="1:18"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c r="O289">
        <f>COUNTBLANK(tblbuyers[Income])</f>
        <v>0</v>
      </c>
      <c r="P289" t="str">
        <f>IF(tblbuyers[[#This Row],[Age]]&lt;30,"&lt;30",IF(tblbuyers[[#This Row],[Age]]&lt;=45,"30-45",IF(tblbuyers[[#This Row],[Age]]&lt;=60,"46-60","60+")))</f>
        <v>46-60</v>
      </c>
      <c r="Q289" t="str">
        <f>IF(tblbuyers[[#This Row],[Income]]&lt;30000,"Low",IF(tblbuyers[[#This Row],[Income]]&lt;=70000,"Medium","High"))</f>
        <v>Medium</v>
      </c>
      <c r="R289" s="7" t="str">
        <f>IF(OR(LOWER(TRIM(tblbuyers[[#This Row],[Purchased Bike]]))="yes",LOWER(TRIM(tblbuyers[[#This Row],[Purchased Bike]]))="y"),"Yes","No")</f>
        <v>Yes</v>
      </c>
    </row>
    <row r="290" spans="1:18"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c r="O290">
        <f>COUNTBLANK(tblbuyers[Income])</f>
        <v>0</v>
      </c>
      <c r="P290" t="str">
        <f>IF(tblbuyers[[#This Row],[Age]]&lt;30,"&lt;30",IF(tblbuyers[[#This Row],[Age]]&lt;=45,"30-45",IF(tblbuyers[[#This Row],[Age]]&lt;=60,"46-60","60+")))</f>
        <v>46-60</v>
      </c>
      <c r="Q290" t="str">
        <f>IF(tblbuyers[[#This Row],[Income]]&lt;30000,"Low",IF(tblbuyers[[#This Row],[Income]]&lt;=70000,"Medium","High"))</f>
        <v>High</v>
      </c>
      <c r="R290" s="7" t="str">
        <f>IF(OR(LOWER(TRIM(tblbuyers[[#This Row],[Purchased Bike]]))="yes",LOWER(TRIM(tblbuyers[[#This Row],[Purchased Bike]]))="y"),"Yes","No")</f>
        <v>No</v>
      </c>
    </row>
    <row r="291" spans="1:18"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c r="O291">
        <f>COUNTBLANK(tblbuyers[Income])</f>
        <v>0</v>
      </c>
      <c r="P291" t="str">
        <f>IF(tblbuyers[[#This Row],[Age]]&lt;30,"&lt;30",IF(tblbuyers[[#This Row],[Age]]&lt;=45,"30-45",IF(tblbuyers[[#This Row],[Age]]&lt;=60,"46-60","60+")))</f>
        <v>46-60</v>
      </c>
      <c r="Q291" t="str">
        <f>IF(tblbuyers[[#This Row],[Income]]&lt;30000,"Low",IF(tblbuyers[[#This Row],[Income]]&lt;=70000,"Medium","High"))</f>
        <v>Medium</v>
      </c>
      <c r="R291" s="7" t="str">
        <f>IF(OR(LOWER(TRIM(tblbuyers[[#This Row],[Purchased Bike]]))="yes",LOWER(TRIM(tblbuyers[[#This Row],[Purchased Bike]]))="y"),"Yes","No")</f>
        <v>Yes</v>
      </c>
    </row>
    <row r="292" spans="1:18"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c r="O292">
        <f>COUNTBLANK(tblbuyers[Income])</f>
        <v>0</v>
      </c>
      <c r="P292" t="str">
        <f>IF(tblbuyers[[#This Row],[Age]]&lt;30,"&lt;30",IF(tblbuyers[[#This Row],[Age]]&lt;=45,"30-45",IF(tblbuyers[[#This Row],[Age]]&lt;=60,"46-60","60+")))</f>
        <v>46-60</v>
      </c>
      <c r="Q292" t="str">
        <f>IF(tblbuyers[[#This Row],[Income]]&lt;30000,"Low",IF(tblbuyers[[#This Row],[Income]]&lt;=70000,"Medium","High"))</f>
        <v>Medium</v>
      </c>
      <c r="R292" s="7" t="str">
        <f>IF(OR(LOWER(TRIM(tblbuyers[[#This Row],[Purchased Bike]]))="yes",LOWER(TRIM(tblbuyers[[#This Row],[Purchased Bike]]))="y"),"Yes","No")</f>
        <v>Yes</v>
      </c>
    </row>
    <row r="293" spans="1:18"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c r="O293">
        <f>COUNTBLANK(tblbuyers[Income])</f>
        <v>0</v>
      </c>
      <c r="P293" t="str">
        <f>IF(tblbuyers[[#This Row],[Age]]&lt;30,"&lt;30",IF(tblbuyers[[#This Row],[Age]]&lt;=45,"30-45",IF(tblbuyers[[#This Row],[Age]]&lt;=60,"46-60","60+")))</f>
        <v>30-45</v>
      </c>
      <c r="Q293" t="str">
        <f>IF(tblbuyers[[#This Row],[Income]]&lt;30000,"Low",IF(tblbuyers[[#This Row],[Income]]&lt;=70000,"Medium","High"))</f>
        <v>Medium</v>
      </c>
      <c r="R293" s="7" t="str">
        <f>IF(OR(LOWER(TRIM(tblbuyers[[#This Row],[Purchased Bike]]))="yes",LOWER(TRIM(tblbuyers[[#This Row],[Purchased Bike]]))="y"),"Yes","No")</f>
        <v>Yes</v>
      </c>
    </row>
    <row r="294" spans="1:18"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c r="O294">
        <f>COUNTBLANK(tblbuyers[Income])</f>
        <v>0</v>
      </c>
      <c r="P294" t="str">
        <f>IF(tblbuyers[[#This Row],[Age]]&lt;30,"&lt;30",IF(tblbuyers[[#This Row],[Age]]&lt;=45,"30-45",IF(tblbuyers[[#This Row],[Age]]&lt;=60,"46-60","60+")))</f>
        <v>30-45</v>
      </c>
      <c r="Q294" t="str">
        <f>IF(tblbuyers[[#This Row],[Income]]&lt;30000,"Low",IF(tblbuyers[[#This Row],[Income]]&lt;=70000,"Medium","High"))</f>
        <v>Medium</v>
      </c>
      <c r="R294" s="7" t="str">
        <f>IF(OR(LOWER(TRIM(tblbuyers[[#This Row],[Purchased Bike]]))="yes",LOWER(TRIM(tblbuyers[[#This Row],[Purchased Bike]]))="y"),"Yes","No")</f>
        <v>Yes</v>
      </c>
    </row>
    <row r="295" spans="1:18"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c r="O295">
        <f>COUNTBLANK(tblbuyers[Income])</f>
        <v>0</v>
      </c>
      <c r="P295" t="str">
        <f>IF(tblbuyers[[#This Row],[Age]]&lt;30,"&lt;30",IF(tblbuyers[[#This Row],[Age]]&lt;=45,"30-45",IF(tblbuyers[[#This Row],[Age]]&lt;=60,"46-60","60+")))</f>
        <v>46-60</v>
      </c>
      <c r="Q295" t="str">
        <f>IF(tblbuyers[[#This Row],[Income]]&lt;30000,"Low",IF(tblbuyers[[#This Row],[Income]]&lt;=70000,"Medium","High"))</f>
        <v>Low</v>
      </c>
      <c r="R295" s="7" t="str">
        <f>IF(OR(LOWER(TRIM(tblbuyers[[#This Row],[Purchased Bike]]))="yes",LOWER(TRIM(tblbuyers[[#This Row],[Purchased Bike]]))="y"),"Yes","No")</f>
        <v>Yes</v>
      </c>
    </row>
    <row r="296" spans="1:18"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c r="O296">
        <f>COUNTBLANK(tblbuyers[Income])</f>
        <v>0</v>
      </c>
      <c r="P296" t="str">
        <f>IF(tblbuyers[[#This Row],[Age]]&lt;30,"&lt;30",IF(tblbuyers[[#This Row],[Age]]&lt;=45,"30-45",IF(tblbuyers[[#This Row],[Age]]&lt;=60,"46-60","60+")))</f>
        <v>30-45</v>
      </c>
      <c r="Q296" t="str">
        <f>IF(tblbuyers[[#This Row],[Income]]&lt;30000,"Low",IF(tblbuyers[[#This Row],[Income]]&lt;=70000,"Medium","High"))</f>
        <v>Low</v>
      </c>
      <c r="R296" s="7" t="str">
        <f>IF(OR(LOWER(TRIM(tblbuyers[[#This Row],[Purchased Bike]]))="yes",LOWER(TRIM(tblbuyers[[#This Row],[Purchased Bike]]))="y"),"Yes","No")</f>
        <v>Yes</v>
      </c>
    </row>
    <row r="297" spans="1:18"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c r="O297">
        <f>COUNTBLANK(tblbuyers[Income])</f>
        <v>0</v>
      </c>
      <c r="P297" t="str">
        <f>IF(tblbuyers[[#This Row],[Age]]&lt;30,"&lt;30",IF(tblbuyers[[#This Row],[Age]]&lt;=45,"30-45",IF(tblbuyers[[#This Row],[Age]]&lt;=60,"46-60","60+")))</f>
        <v>30-45</v>
      </c>
      <c r="Q297" t="str">
        <f>IF(tblbuyers[[#This Row],[Income]]&lt;30000,"Low",IF(tblbuyers[[#This Row],[Income]]&lt;=70000,"Medium","High"))</f>
        <v>High</v>
      </c>
      <c r="R297" s="7" t="str">
        <f>IF(OR(LOWER(TRIM(tblbuyers[[#This Row],[Purchased Bike]]))="yes",LOWER(TRIM(tblbuyers[[#This Row],[Purchased Bike]]))="y"),"Yes","No")</f>
        <v>Yes</v>
      </c>
    </row>
    <row r="298" spans="1:18"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c r="O298">
        <f>COUNTBLANK(tblbuyers[Income])</f>
        <v>0</v>
      </c>
      <c r="P298" t="str">
        <f>IF(tblbuyers[[#This Row],[Age]]&lt;30,"&lt;30",IF(tblbuyers[[#This Row],[Age]]&lt;=45,"30-45",IF(tblbuyers[[#This Row],[Age]]&lt;=60,"46-60","60+")))</f>
        <v>30-45</v>
      </c>
      <c r="Q298" t="str">
        <f>IF(tblbuyers[[#This Row],[Income]]&lt;30000,"Low",IF(tblbuyers[[#This Row],[Income]]&lt;=70000,"Medium","High"))</f>
        <v>Medium</v>
      </c>
      <c r="R298" s="7" t="str">
        <f>IF(OR(LOWER(TRIM(tblbuyers[[#This Row],[Purchased Bike]]))="yes",LOWER(TRIM(tblbuyers[[#This Row],[Purchased Bike]]))="y"),"Yes","No")</f>
        <v>Yes</v>
      </c>
    </row>
    <row r="299" spans="1:18"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c r="O299">
        <f>COUNTBLANK(tblbuyers[Income])</f>
        <v>0</v>
      </c>
      <c r="P299" t="str">
        <f>IF(tblbuyers[[#This Row],[Age]]&lt;30,"&lt;30",IF(tblbuyers[[#This Row],[Age]]&lt;=45,"30-45",IF(tblbuyers[[#This Row],[Age]]&lt;=60,"46-60","60+")))</f>
        <v>30-45</v>
      </c>
      <c r="Q299" t="str">
        <f>IF(tblbuyers[[#This Row],[Income]]&lt;30000,"Low",IF(tblbuyers[[#This Row],[Income]]&lt;=70000,"Medium","High"))</f>
        <v>High</v>
      </c>
      <c r="R299" s="7" t="str">
        <f>IF(OR(LOWER(TRIM(tblbuyers[[#This Row],[Purchased Bike]]))="yes",LOWER(TRIM(tblbuyers[[#This Row],[Purchased Bike]]))="y"),"Yes","No")</f>
        <v>Yes</v>
      </c>
    </row>
    <row r="300" spans="1:18"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c r="O300">
        <f>COUNTBLANK(tblbuyers[Income])</f>
        <v>0</v>
      </c>
      <c r="P300" t="str">
        <f>IF(tblbuyers[[#This Row],[Age]]&lt;30,"&lt;30",IF(tblbuyers[[#This Row],[Age]]&lt;=45,"30-45",IF(tblbuyers[[#This Row],[Age]]&lt;=60,"46-60","60+")))</f>
        <v>46-60</v>
      </c>
      <c r="Q300" t="str">
        <f>IF(tblbuyers[[#This Row],[Income]]&lt;30000,"Low",IF(tblbuyers[[#This Row],[Income]]&lt;=70000,"Medium","High"))</f>
        <v>High</v>
      </c>
      <c r="R300" s="7" t="str">
        <f>IF(OR(LOWER(TRIM(tblbuyers[[#This Row],[Purchased Bike]]))="yes",LOWER(TRIM(tblbuyers[[#This Row],[Purchased Bike]]))="y"),"Yes","No")</f>
        <v>Yes</v>
      </c>
    </row>
    <row r="301" spans="1:18"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c r="O301">
        <f>COUNTBLANK(tblbuyers[Income])</f>
        <v>0</v>
      </c>
      <c r="P301" t="str">
        <f>IF(tblbuyers[[#This Row],[Age]]&lt;30,"&lt;30",IF(tblbuyers[[#This Row],[Age]]&lt;=45,"30-45",IF(tblbuyers[[#This Row],[Age]]&lt;=60,"46-60","60+")))</f>
        <v>60+</v>
      </c>
      <c r="Q301" t="str">
        <f>IF(tblbuyers[[#This Row],[Income]]&lt;30000,"Low",IF(tblbuyers[[#This Row],[Income]]&lt;=70000,"Medium","High"))</f>
        <v>Medium</v>
      </c>
      <c r="R301" s="7" t="str">
        <f>IF(OR(LOWER(TRIM(tblbuyers[[#This Row],[Purchased Bike]]))="yes",LOWER(TRIM(tblbuyers[[#This Row],[Purchased Bike]]))="y"),"Yes","No")</f>
        <v>No</v>
      </c>
    </row>
    <row r="302" spans="1:18"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c r="O302">
        <f>COUNTBLANK(tblbuyers[Income])</f>
        <v>0</v>
      </c>
      <c r="P302" t="str">
        <f>IF(tblbuyers[[#This Row],[Age]]&lt;30,"&lt;30",IF(tblbuyers[[#This Row],[Age]]&lt;=45,"30-45",IF(tblbuyers[[#This Row],[Age]]&lt;=60,"46-60","60+")))</f>
        <v>60+</v>
      </c>
      <c r="Q302" t="str">
        <f>IF(tblbuyers[[#This Row],[Income]]&lt;30000,"Low",IF(tblbuyers[[#This Row],[Income]]&lt;=70000,"Medium","High"))</f>
        <v>Low</v>
      </c>
      <c r="R302" s="7" t="str">
        <f>IF(OR(LOWER(TRIM(tblbuyers[[#This Row],[Purchased Bike]]))="yes",LOWER(TRIM(tblbuyers[[#This Row],[Purchased Bike]]))="y"),"Yes","No")</f>
        <v>No</v>
      </c>
    </row>
    <row r="303" spans="1:18"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c r="O303">
        <f>COUNTBLANK(tblbuyers[Income])</f>
        <v>0</v>
      </c>
      <c r="P303" t="str">
        <f>IF(tblbuyers[[#This Row],[Age]]&lt;30,"&lt;30",IF(tblbuyers[[#This Row],[Age]]&lt;=45,"30-45",IF(tblbuyers[[#This Row],[Age]]&lt;=60,"46-60","60+")))</f>
        <v>&lt;30</v>
      </c>
      <c r="Q303" t="str">
        <f>IF(tblbuyers[[#This Row],[Income]]&lt;30000,"Low",IF(tblbuyers[[#This Row],[Income]]&lt;=70000,"Medium","High"))</f>
        <v>Medium</v>
      </c>
      <c r="R303" s="7" t="str">
        <f>IF(OR(LOWER(TRIM(tblbuyers[[#This Row],[Purchased Bike]]))="yes",LOWER(TRIM(tblbuyers[[#This Row],[Purchased Bike]]))="y"),"Yes","No")</f>
        <v>Yes</v>
      </c>
    </row>
    <row r="304" spans="1:18"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c r="O304">
        <f>COUNTBLANK(tblbuyers[Income])</f>
        <v>0</v>
      </c>
      <c r="P304" t="str">
        <f>IF(tblbuyers[[#This Row],[Age]]&lt;30,"&lt;30",IF(tblbuyers[[#This Row],[Age]]&lt;=45,"30-45",IF(tblbuyers[[#This Row],[Age]]&lt;=60,"46-60","60+")))</f>
        <v>60+</v>
      </c>
      <c r="Q304" t="str">
        <f>IF(tblbuyers[[#This Row],[Income]]&lt;30000,"Low",IF(tblbuyers[[#This Row],[Income]]&lt;=70000,"Medium","High"))</f>
        <v>Medium</v>
      </c>
      <c r="R304" s="7" t="str">
        <f>IF(OR(LOWER(TRIM(tblbuyers[[#This Row],[Purchased Bike]]))="yes",LOWER(TRIM(tblbuyers[[#This Row],[Purchased Bike]]))="y"),"Yes","No")</f>
        <v>Yes</v>
      </c>
    </row>
    <row r="305" spans="1:18"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c r="O305">
        <f>COUNTBLANK(tblbuyers[Income])</f>
        <v>0</v>
      </c>
      <c r="P305" t="str">
        <f>IF(tblbuyers[[#This Row],[Age]]&lt;30,"&lt;30",IF(tblbuyers[[#This Row],[Age]]&lt;=45,"30-45",IF(tblbuyers[[#This Row],[Age]]&lt;=60,"46-60","60+")))</f>
        <v>30-45</v>
      </c>
      <c r="Q305" t="str">
        <f>IF(tblbuyers[[#This Row],[Income]]&lt;30000,"Low",IF(tblbuyers[[#This Row],[Income]]&lt;=70000,"Medium","High"))</f>
        <v>Medium</v>
      </c>
      <c r="R305" s="7" t="str">
        <f>IF(OR(LOWER(TRIM(tblbuyers[[#This Row],[Purchased Bike]]))="yes",LOWER(TRIM(tblbuyers[[#This Row],[Purchased Bike]]))="y"),"Yes","No")</f>
        <v>No</v>
      </c>
    </row>
    <row r="306" spans="1:18"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c r="O306">
        <f>COUNTBLANK(tblbuyers[Income])</f>
        <v>0</v>
      </c>
      <c r="P306" t="str">
        <f>IF(tblbuyers[[#This Row],[Age]]&lt;30,"&lt;30",IF(tblbuyers[[#This Row],[Age]]&lt;=45,"30-45",IF(tblbuyers[[#This Row],[Age]]&lt;=60,"46-60","60+")))</f>
        <v>30-45</v>
      </c>
      <c r="Q306" t="str">
        <f>IF(tblbuyers[[#This Row],[Income]]&lt;30000,"Low",IF(tblbuyers[[#This Row],[Income]]&lt;=70000,"Medium","High"))</f>
        <v>High</v>
      </c>
      <c r="R306" s="7" t="str">
        <f>IF(OR(LOWER(TRIM(tblbuyers[[#This Row],[Purchased Bike]]))="yes",LOWER(TRIM(tblbuyers[[#This Row],[Purchased Bike]]))="y"),"Yes","No")</f>
        <v>Yes</v>
      </c>
    </row>
    <row r="307" spans="1:18"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c r="O307">
        <f>COUNTBLANK(tblbuyers[Income])</f>
        <v>0</v>
      </c>
      <c r="P307" t="str">
        <f>IF(tblbuyers[[#This Row],[Age]]&lt;30,"&lt;30",IF(tblbuyers[[#This Row],[Age]]&lt;=45,"30-45",IF(tblbuyers[[#This Row],[Age]]&lt;=60,"46-60","60+")))</f>
        <v>46-60</v>
      </c>
      <c r="Q307" t="str">
        <f>IF(tblbuyers[[#This Row],[Income]]&lt;30000,"Low",IF(tblbuyers[[#This Row],[Income]]&lt;=70000,"Medium","High"))</f>
        <v>Low</v>
      </c>
      <c r="R307" s="7" t="str">
        <f>IF(OR(LOWER(TRIM(tblbuyers[[#This Row],[Purchased Bike]]))="yes",LOWER(TRIM(tblbuyers[[#This Row],[Purchased Bike]]))="y"),"Yes","No")</f>
        <v>No</v>
      </c>
    </row>
    <row r="308" spans="1:18"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c r="O308">
        <f>COUNTBLANK(tblbuyers[Income])</f>
        <v>0</v>
      </c>
      <c r="P308" t="str">
        <f>IF(tblbuyers[[#This Row],[Age]]&lt;30,"&lt;30",IF(tblbuyers[[#This Row],[Age]]&lt;=45,"30-45",IF(tblbuyers[[#This Row],[Age]]&lt;=60,"46-60","60+")))</f>
        <v>30-45</v>
      </c>
      <c r="Q308" t="str">
        <f>IF(tblbuyers[[#This Row],[Income]]&lt;30000,"Low",IF(tblbuyers[[#This Row],[Income]]&lt;=70000,"Medium","High"))</f>
        <v>High</v>
      </c>
      <c r="R308" s="7" t="str">
        <f>IF(OR(LOWER(TRIM(tblbuyers[[#This Row],[Purchased Bike]]))="yes",LOWER(TRIM(tblbuyers[[#This Row],[Purchased Bike]]))="y"),"Yes","No")</f>
        <v>Yes</v>
      </c>
    </row>
    <row r="309" spans="1:18"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c r="O309">
        <f>COUNTBLANK(tblbuyers[Income])</f>
        <v>0</v>
      </c>
      <c r="P309" t="str">
        <f>IF(tblbuyers[[#This Row],[Age]]&lt;30,"&lt;30",IF(tblbuyers[[#This Row],[Age]]&lt;=45,"30-45",IF(tblbuyers[[#This Row],[Age]]&lt;=60,"46-60","60+")))</f>
        <v>60+</v>
      </c>
      <c r="Q309" t="str">
        <f>IF(tblbuyers[[#This Row],[Income]]&lt;30000,"Low",IF(tblbuyers[[#This Row],[Income]]&lt;=70000,"Medium","High"))</f>
        <v>Low</v>
      </c>
      <c r="R309" s="7" t="str">
        <f>IF(OR(LOWER(TRIM(tblbuyers[[#This Row],[Purchased Bike]]))="yes",LOWER(TRIM(tblbuyers[[#This Row],[Purchased Bike]]))="y"),"Yes","No")</f>
        <v>No</v>
      </c>
    </row>
    <row r="310" spans="1:18"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c r="O310">
        <f>COUNTBLANK(tblbuyers[Income])</f>
        <v>0</v>
      </c>
      <c r="P310" t="str">
        <f>IF(tblbuyers[[#This Row],[Age]]&lt;30,"&lt;30",IF(tblbuyers[[#This Row],[Age]]&lt;=45,"30-45",IF(tblbuyers[[#This Row],[Age]]&lt;=60,"46-60","60+")))</f>
        <v>30-45</v>
      </c>
      <c r="Q310" t="str">
        <f>IF(tblbuyers[[#This Row],[Income]]&lt;30000,"Low",IF(tblbuyers[[#This Row],[Income]]&lt;=70000,"Medium","High"))</f>
        <v>Medium</v>
      </c>
      <c r="R310" s="7" t="str">
        <f>IF(OR(LOWER(TRIM(tblbuyers[[#This Row],[Purchased Bike]]))="yes",LOWER(TRIM(tblbuyers[[#This Row],[Purchased Bike]]))="y"),"Yes","No")</f>
        <v>Yes</v>
      </c>
    </row>
    <row r="311" spans="1:18"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c r="O311">
        <f>COUNTBLANK(tblbuyers[Income])</f>
        <v>0</v>
      </c>
      <c r="P311" t="str">
        <f>IF(tblbuyers[[#This Row],[Age]]&lt;30,"&lt;30",IF(tblbuyers[[#This Row],[Age]]&lt;=45,"30-45",IF(tblbuyers[[#This Row],[Age]]&lt;=60,"46-60","60+")))</f>
        <v>46-60</v>
      </c>
      <c r="Q311" t="str">
        <f>IF(tblbuyers[[#This Row],[Income]]&lt;30000,"Low",IF(tblbuyers[[#This Row],[Income]]&lt;=70000,"Medium","High"))</f>
        <v>Low</v>
      </c>
      <c r="R311" s="7" t="str">
        <f>IF(OR(LOWER(TRIM(tblbuyers[[#This Row],[Purchased Bike]]))="yes",LOWER(TRIM(tblbuyers[[#This Row],[Purchased Bike]]))="y"),"Yes","No")</f>
        <v>Yes</v>
      </c>
    </row>
    <row r="312" spans="1:18"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c r="O312">
        <f>COUNTBLANK(tblbuyers[Income])</f>
        <v>0</v>
      </c>
      <c r="P312" t="str">
        <f>IF(tblbuyers[[#This Row],[Age]]&lt;30,"&lt;30",IF(tblbuyers[[#This Row],[Age]]&lt;=45,"30-45",IF(tblbuyers[[#This Row],[Age]]&lt;=60,"46-60","60+")))</f>
        <v>46-60</v>
      </c>
      <c r="Q312" t="str">
        <f>IF(tblbuyers[[#This Row],[Income]]&lt;30000,"Low",IF(tblbuyers[[#This Row],[Income]]&lt;=70000,"Medium","High"))</f>
        <v>High</v>
      </c>
      <c r="R312" s="7" t="str">
        <f>IF(OR(LOWER(TRIM(tblbuyers[[#This Row],[Purchased Bike]]))="yes",LOWER(TRIM(tblbuyers[[#This Row],[Purchased Bike]]))="y"),"Yes","No")</f>
        <v>No</v>
      </c>
    </row>
    <row r="313" spans="1:18"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c r="O313">
        <f>COUNTBLANK(tblbuyers[Income])</f>
        <v>0</v>
      </c>
      <c r="P313" t="str">
        <f>IF(tblbuyers[[#This Row],[Age]]&lt;30,"&lt;30",IF(tblbuyers[[#This Row],[Age]]&lt;=45,"30-45",IF(tblbuyers[[#This Row],[Age]]&lt;=60,"46-60","60+")))</f>
        <v>46-60</v>
      </c>
      <c r="Q313" t="str">
        <f>IF(tblbuyers[[#This Row],[Income]]&lt;30000,"Low",IF(tblbuyers[[#This Row],[Income]]&lt;=70000,"Medium","High"))</f>
        <v>Medium</v>
      </c>
      <c r="R313" s="7" t="str">
        <f>IF(OR(LOWER(TRIM(tblbuyers[[#This Row],[Purchased Bike]]))="yes",LOWER(TRIM(tblbuyers[[#This Row],[Purchased Bike]]))="y"),"Yes","No")</f>
        <v>No</v>
      </c>
    </row>
    <row r="314" spans="1:18"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c r="O314">
        <f>COUNTBLANK(tblbuyers[Income])</f>
        <v>0</v>
      </c>
      <c r="P314" t="str">
        <f>IF(tblbuyers[[#This Row],[Age]]&lt;30,"&lt;30",IF(tblbuyers[[#This Row],[Age]]&lt;=45,"30-45",IF(tblbuyers[[#This Row],[Age]]&lt;=60,"46-60","60+")))</f>
        <v>46-60</v>
      </c>
      <c r="Q314" t="str">
        <f>IF(tblbuyers[[#This Row],[Income]]&lt;30000,"Low",IF(tblbuyers[[#This Row],[Income]]&lt;=70000,"Medium","High"))</f>
        <v>Low</v>
      </c>
      <c r="R314" s="7" t="str">
        <f>IF(OR(LOWER(TRIM(tblbuyers[[#This Row],[Purchased Bike]]))="yes",LOWER(TRIM(tblbuyers[[#This Row],[Purchased Bike]]))="y"),"Yes","No")</f>
        <v>Yes</v>
      </c>
    </row>
    <row r="315" spans="1:18"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c r="O315">
        <f>COUNTBLANK(tblbuyers[Income])</f>
        <v>0</v>
      </c>
      <c r="P315" t="str">
        <f>IF(tblbuyers[[#This Row],[Age]]&lt;30,"&lt;30",IF(tblbuyers[[#This Row],[Age]]&lt;=45,"30-45",IF(tblbuyers[[#This Row],[Age]]&lt;=60,"46-60","60+")))</f>
        <v>46-60</v>
      </c>
      <c r="Q315" t="str">
        <f>IF(tblbuyers[[#This Row],[Income]]&lt;30000,"Low",IF(tblbuyers[[#This Row],[Income]]&lt;=70000,"Medium","High"))</f>
        <v>Medium</v>
      </c>
      <c r="R315" s="7" t="str">
        <f>IF(OR(LOWER(TRIM(tblbuyers[[#This Row],[Purchased Bike]]))="yes",LOWER(TRIM(tblbuyers[[#This Row],[Purchased Bike]]))="y"),"Yes","No")</f>
        <v>Yes</v>
      </c>
    </row>
    <row r="316" spans="1:18"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c r="O316">
        <f>COUNTBLANK(tblbuyers[Income])</f>
        <v>0</v>
      </c>
      <c r="P316" t="str">
        <f>IF(tblbuyers[[#This Row],[Age]]&lt;30,"&lt;30",IF(tblbuyers[[#This Row],[Age]]&lt;=45,"30-45",IF(tblbuyers[[#This Row],[Age]]&lt;=60,"46-60","60+")))</f>
        <v>46-60</v>
      </c>
      <c r="Q316" t="str">
        <f>IF(tblbuyers[[#This Row],[Income]]&lt;30000,"Low",IF(tblbuyers[[#This Row],[Income]]&lt;=70000,"Medium","High"))</f>
        <v>High</v>
      </c>
      <c r="R316" s="7" t="str">
        <f>IF(OR(LOWER(TRIM(tblbuyers[[#This Row],[Purchased Bike]]))="yes",LOWER(TRIM(tblbuyers[[#This Row],[Purchased Bike]]))="y"),"Yes","No")</f>
        <v>Yes</v>
      </c>
    </row>
    <row r="317" spans="1:18"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c r="O317">
        <f>COUNTBLANK(tblbuyers[Income])</f>
        <v>0</v>
      </c>
      <c r="P317" t="str">
        <f>IF(tblbuyers[[#This Row],[Age]]&lt;30,"&lt;30",IF(tblbuyers[[#This Row],[Age]]&lt;=45,"30-45",IF(tblbuyers[[#This Row],[Age]]&lt;=60,"46-60","60+")))</f>
        <v>30-45</v>
      </c>
      <c r="Q317" t="str">
        <f>IF(tblbuyers[[#This Row],[Income]]&lt;30000,"Low",IF(tblbuyers[[#This Row],[Income]]&lt;=70000,"Medium","High"))</f>
        <v>Medium</v>
      </c>
      <c r="R317" s="7" t="str">
        <f>IF(OR(LOWER(TRIM(tblbuyers[[#This Row],[Purchased Bike]]))="yes",LOWER(TRIM(tblbuyers[[#This Row],[Purchased Bike]]))="y"),"Yes","No")</f>
        <v>No</v>
      </c>
    </row>
    <row r="318" spans="1:18"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c r="O318">
        <f>COUNTBLANK(tblbuyers[Income])</f>
        <v>0</v>
      </c>
      <c r="P318" t="str">
        <f>IF(tblbuyers[[#This Row],[Age]]&lt;30,"&lt;30",IF(tblbuyers[[#This Row],[Age]]&lt;=45,"30-45",IF(tblbuyers[[#This Row],[Age]]&lt;=60,"46-60","60+")))</f>
        <v>60+</v>
      </c>
      <c r="Q318" t="str">
        <f>IF(tblbuyers[[#This Row],[Income]]&lt;30000,"Low",IF(tblbuyers[[#This Row],[Income]]&lt;=70000,"Medium","High"))</f>
        <v>Medium</v>
      </c>
      <c r="R318" s="7" t="str">
        <f>IF(OR(LOWER(TRIM(tblbuyers[[#This Row],[Purchased Bike]]))="yes",LOWER(TRIM(tblbuyers[[#This Row],[Purchased Bike]]))="y"),"Yes","No")</f>
        <v>Yes</v>
      </c>
    </row>
    <row r="319" spans="1:18"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c r="O319">
        <f>COUNTBLANK(tblbuyers[Income])</f>
        <v>0</v>
      </c>
      <c r="P319" t="str">
        <f>IF(tblbuyers[[#This Row],[Age]]&lt;30,"&lt;30",IF(tblbuyers[[#This Row],[Age]]&lt;=45,"30-45",IF(tblbuyers[[#This Row],[Age]]&lt;=60,"46-60","60+")))</f>
        <v>30-45</v>
      </c>
      <c r="Q319" t="str">
        <f>IF(tblbuyers[[#This Row],[Income]]&lt;30000,"Low",IF(tblbuyers[[#This Row],[Income]]&lt;=70000,"Medium","High"))</f>
        <v>Medium</v>
      </c>
      <c r="R319" s="7" t="str">
        <f>IF(OR(LOWER(TRIM(tblbuyers[[#This Row],[Purchased Bike]]))="yes",LOWER(TRIM(tblbuyers[[#This Row],[Purchased Bike]]))="y"),"Yes","No")</f>
        <v>Yes</v>
      </c>
    </row>
    <row r="320" spans="1:18" x14ac:dyDescent="0.25">
      <c r="A320">
        <v>19066</v>
      </c>
      <c r="B320" t="s">
        <v>36</v>
      </c>
      <c r="C320" t="s">
        <v>39</v>
      </c>
      <c r="D320" s="3">
        <v>130000</v>
      </c>
      <c r="E320">
        <v>4</v>
      </c>
      <c r="F320" t="s">
        <v>19</v>
      </c>
      <c r="G320" t="s">
        <v>21</v>
      </c>
      <c r="H320" t="s">
        <v>18</v>
      </c>
      <c r="I320">
        <v>3</v>
      </c>
      <c r="J320" t="s">
        <v>30</v>
      </c>
      <c r="K320" t="s">
        <v>17</v>
      </c>
      <c r="L320">
        <v>54</v>
      </c>
      <c r="M320" t="str">
        <f t="shared" si="4"/>
        <v>Middle Age</v>
      </c>
      <c r="N320" t="s">
        <v>18</v>
      </c>
      <c r="O320">
        <f>COUNTBLANK(tblbuyers[Income])</f>
        <v>0</v>
      </c>
      <c r="P320" t="str">
        <f>IF(tblbuyers[[#This Row],[Age]]&lt;30,"&lt;30",IF(tblbuyers[[#This Row],[Age]]&lt;=45,"30-45",IF(tblbuyers[[#This Row],[Age]]&lt;=60,"46-60","60+")))</f>
        <v>46-60</v>
      </c>
      <c r="Q320" t="str">
        <f>IF(tblbuyers[[#This Row],[Income]]&lt;30000,"Low",IF(tblbuyers[[#This Row],[Income]]&lt;=70000,"Medium","High"))</f>
        <v>High</v>
      </c>
      <c r="R320" s="7" t="str">
        <f>IF(OR(LOWER(TRIM(tblbuyers[[#This Row],[Purchased Bike]]))="yes",LOWER(TRIM(tblbuyers[[#This Row],[Purchased Bike]]))="y"),"Yes","No")</f>
        <v>No</v>
      </c>
    </row>
    <row r="321" spans="1:18"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c r="O321">
        <f>COUNTBLANK(tblbuyers[Income])</f>
        <v>0</v>
      </c>
      <c r="P321" t="str">
        <f>IF(tblbuyers[[#This Row],[Age]]&lt;30,"&lt;30",IF(tblbuyers[[#This Row],[Age]]&lt;=45,"30-45",IF(tblbuyers[[#This Row],[Age]]&lt;=60,"46-60","60+")))</f>
        <v>30-45</v>
      </c>
      <c r="Q321" t="str">
        <f>IF(tblbuyers[[#This Row],[Income]]&lt;30000,"Low",IF(tblbuyers[[#This Row],[Income]]&lt;=70000,"Medium","High"))</f>
        <v>Medium</v>
      </c>
      <c r="R321" s="7" t="str">
        <f>IF(OR(LOWER(TRIM(tblbuyers[[#This Row],[Purchased Bike]]))="yes",LOWER(TRIM(tblbuyers[[#This Row],[Purchased Bike]]))="y"),"Yes","No")</f>
        <v>No</v>
      </c>
    </row>
    <row r="322" spans="1:18"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c r="O322">
        <f>COUNTBLANK(tblbuyers[Income])</f>
        <v>0</v>
      </c>
      <c r="P322" t="str">
        <f>IF(tblbuyers[[#This Row],[Age]]&lt;30,"&lt;30",IF(tblbuyers[[#This Row],[Age]]&lt;=45,"30-45",IF(tblbuyers[[#This Row],[Age]]&lt;=60,"46-60","60+")))</f>
        <v>30-45</v>
      </c>
      <c r="Q322" t="str">
        <f>IF(tblbuyers[[#This Row],[Income]]&lt;30000,"Low",IF(tblbuyers[[#This Row],[Income]]&lt;=70000,"Medium","High"))</f>
        <v>High</v>
      </c>
      <c r="R322" s="7" t="str">
        <f>IF(OR(LOWER(TRIM(tblbuyers[[#This Row],[Purchased Bike]]))="yes",LOWER(TRIM(tblbuyers[[#This Row],[Purchased Bike]]))="y"),"Yes","No")</f>
        <v>Yes</v>
      </c>
    </row>
    <row r="323" spans="1:18"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c r="O323">
        <f>COUNTBLANK(tblbuyers[Income])</f>
        <v>0</v>
      </c>
      <c r="P323" t="str">
        <f>IF(tblbuyers[[#This Row],[Age]]&lt;30,"&lt;30",IF(tblbuyers[[#This Row],[Age]]&lt;=45,"30-45",IF(tblbuyers[[#This Row],[Age]]&lt;=60,"46-60","60+")))</f>
        <v>46-60</v>
      </c>
      <c r="Q323" t="str">
        <f>IF(tblbuyers[[#This Row],[Income]]&lt;30000,"Low",IF(tblbuyers[[#This Row],[Income]]&lt;=70000,"Medium","High"))</f>
        <v>High</v>
      </c>
      <c r="R323" s="7" t="str">
        <f>IF(OR(LOWER(TRIM(tblbuyers[[#This Row],[Purchased Bike]]))="yes",LOWER(TRIM(tblbuyers[[#This Row],[Purchased Bike]]))="y"),"Yes","No")</f>
        <v>Yes</v>
      </c>
    </row>
    <row r="324" spans="1:18"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c r="O324">
        <f>COUNTBLANK(tblbuyers[Income])</f>
        <v>0</v>
      </c>
      <c r="P324" t="str">
        <f>IF(tblbuyers[[#This Row],[Age]]&lt;30,"&lt;30",IF(tblbuyers[[#This Row],[Age]]&lt;=45,"30-45",IF(tblbuyers[[#This Row],[Age]]&lt;=60,"46-60","60+")))</f>
        <v>30-45</v>
      </c>
      <c r="Q324" t="str">
        <f>IF(tblbuyers[[#This Row],[Income]]&lt;30000,"Low",IF(tblbuyers[[#This Row],[Income]]&lt;=70000,"Medium","High"))</f>
        <v>Low</v>
      </c>
      <c r="R324" s="7" t="str">
        <f>IF(OR(LOWER(TRIM(tblbuyers[[#This Row],[Purchased Bike]]))="yes",LOWER(TRIM(tblbuyers[[#This Row],[Purchased Bike]]))="y"),"Yes","No")</f>
        <v>Yes</v>
      </c>
    </row>
    <row r="325" spans="1:18"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c r="O325">
        <f>COUNTBLANK(tblbuyers[Income])</f>
        <v>0</v>
      </c>
      <c r="P325" t="str">
        <f>IF(tblbuyers[[#This Row],[Age]]&lt;30,"&lt;30",IF(tblbuyers[[#This Row],[Age]]&lt;=45,"30-45",IF(tblbuyers[[#This Row],[Age]]&lt;=60,"46-60","60+")))</f>
        <v>30-45</v>
      </c>
      <c r="Q325" t="str">
        <f>IF(tblbuyers[[#This Row],[Income]]&lt;30000,"Low",IF(tblbuyers[[#This Row],[Income]]&lt;=70000,"Medium","High"))</f>
        <v>Medium</v>
      </c>
      <c r="R325" s="7" t="str">
        <f>IF(OR(LOWER(TRIM(tblbuyers[[#This Row],[Purchased Bike]]))="yes",LOWER(TRIM(tblbuyers[[#This Row],[Purchased Bike]]))="y"),"Yes","No")</f>
        <v>Yes</v>
      </c>
    </row>
    <row r="326" spans="1:18"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c r="O326">
        <f>COUNTBLANK(tblbuyers[Income])</f>
        <v>0</v>
      </c>
      <c r="P326" t="str">
        <f>IF(tblbuyers[[#This Row],[Age]]&lt;30,"&lt;30",IF(tblbuyers[[#This Row],[Age]]&lt;=45,"30-45",IF(tblbuyers[[#This Row],[Age]]&lt;=60,"46-60","60+")))</f>
        <v>30-45</v>
      </c>
      <c r="Q326" t="str">
        <f>IF(tblbuyers[[#This Row],[Income]]&lt;30000,"Low",IF(tblbuyers[[#This Row],[Income]]&lt;=70000,"Medium","High"))</f>
        <v>High</v>
      </c>
      <c r="R326" s="7" t="str">
        <f>IF(OR(LOWER(TRIM(tblbuyers[[#This Row],[Purchased Bike]]))="yes",LOWER(TRIM(tblbuyers[[#This Row],[Purchased Bike]]))="y"),"Yes","No")</f>
        <v>Yes</v>
      </c>
    </row>
    <row r="327" spans="1:18"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c r="O327">
        <f>COUNTBLANK(tblbuyers[Income])</f>
        <v>0</v>
      </c>
      <c r="P327" t="str">
        <f>IF(tblbuyers[[#This Row],[Age]]&lt;30,"&lt;30",IF(tblbuyers[[#This Row],[Age]]&lt;=45,"30-45",IF(tblbuyers[[#This Row],[Age]]&lt;=60,"46-60","60+")))</f>
        <v>30-45</v>
      </c>
      <c r="Q327" t="str">
        <f>IF(tblbuyers[[#This Row],[Income]]&lt;30000,"Low",IF(tblbuyers[[#This Row],[Income]]&lt;=70000,"Medium","High"))</f>
        <v>Medium</v>
      </c>
      <c r="R327" s="7" t="str">
        <f>IF(OR(LOWER(TRIM(tblbuyers[[#This Row],[Purchased Bike]]))="yes",LOWER(TRIM(tblbuyers[[#This Row],[Purchased Bike]]))="y"),"Yes","No")</f>
        <v>Yes</v>
      </c>
    </row>
    <row r="328" spans="1:18"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c r="O328">
        <f>COUNTBLANK(tblbuyers[Income])</f>
        <v>0</v>
      </c>
      <c r="P328" t="str">
        <f>IF(tblbuyers[[#This Row],[Age]]&lt;30,"&lt;30",IF(tblbuyers[[#This Row],[Age]]&lt;=45,"30-45",IF(tblbuyers[[#This Row],[Age]]&lt;=60,"46-60","60+")))</f>
        <v>&lt;30</v>
      </c>
      <c r="Q328" t="str">
        <f>IF(tblbuyers[[#This Row],[Income]]&lt;30000,"Low",IF(tblbuyers[[#This Row],[Income]]&lt;=70000,"Medium","High"))</f>
        <v>Low</v>
      </c>
      <c r="R328" s="7" t="str">
        <f>IF(OR(LOWER(TRIM(tblbuyers[[#This Row],[Purchased Bike]]))="yes",LOWER(TRIM(tblbuyers[[#This Row],[Purchased Bike]]))="y"),"Yes","No")</f>
        <v>Yes</v>
      </c>
    </row>
    <row r="329" spans="1:18"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c r="O329">
        <f>COUNTBLANK(tblbuyers[Income])</f>
        <v>0</v>
      </c>
      <c r="P329" t="str">
        <f>IF(tblbuyers[[#This Row],[Age]]&lt;30,"&lt;30",IF(tblbuyers[[#This Row],[Age]]&lt;=45,"30-45",IF(tblbuyers[[#This Row],[Age]]&lt;=60,"46-60","60+")))</f>
        <v>30-45</v>
      </c>
      <c r="Q329" t="str">
        <f>IF(tblbuyers[[#This Row],[Income]]&lt;30000,"Low",IF(tblbuyers[[#This Row],[Income]]&lt;=70000,"Medium","High"))</f>
        <v>Medium</v>
      </c>
      <c r="R329" s="7" t="str">
        <f>IF(OR(LOWER(TRIM(tblbuyers[[#This Row],[Purchased Bike]]))="yes",LOWER(TRIM(tblbuyers[[#This Row],[Purchased Bike]]))="y"),"Yes","No")</f>
        <v>No</v>
      </c>
    </row>
    <row r="330" spans="1:18"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c r="O330">
        <f>COUNTBLANK(tblbuyers[Income])</f>
        <v>0</v>
      </c>
      <c r="P330" t="str">
        <f>IF(tblbuyers[[#This Row],[Age]]&lt;30,"&lt;30",IF(tblbuyers[[#This Row],[Age]]&lt;=45,"30-45",IF(tblbuyers[[#This Row],[Age]]&lt;=60,"46-60","60+")))</f>
        <v>30-45</v>
      </c>
      <c r="Q330" t="str">
        <f>IF(tblbuyers[[#This Row],[Income]]&lt;30000,"Low",IF(tblbuyers[[#This Row],[Income]]&lt;=70000,"Medium","High"))</f>
        <v>Medium</v>
      </c>
      <c r="R330" s="7" t="str">
        <f>IF(OR(LOWER(TRIM(tblbuyers[[#This Row],[Purchased Bike]]))="yes",LOWER(TRIM(tblbuyers[[#This Row],[Purchased Bike]]))="y"),"Yes","No")</f>
        <v>No</v>
      </c>
    </row>
    <row r="331" spans="1:18"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c r="O331">
        <f>COUNTBLANK(tblbuyers[Income])</f>
        <v>0</v>
      </c>
      <c r="P331" t="str">
        <f>IF(tblbuyers[[#This Row],[Age]]&lt;30,"&lt;30",IF(tblbuyers[[#This Row],[Age]]&lt;=45,"30-45",IF(tblbuyers[[#This Row],[Age]]&lt;=60,"46-60","60+")))</f>
        <v>46-60</v>
      </c>
      <c r="Q331" t="str">
        <f>IF(tblbuyers[[#This Row],[Income]]&lt;30000,"Low",IF(tblbuyers[[#This Row],[Income]]&lt;=70000,"Medium","High"))</f>
        <v>High</v>
      </c>
      <c r="R331" s="7" t="str">
        <f>IF(OR(LOWER(TRIM(tblbuyers[[#This Row],[Purchased Bike]]))="yes",LOWER(TRIM(tblbuyers[[#This Row],[Purchased Bike]]))="y"),"Yes","No")</f>
        <v>No</v>
      </c>
    </row>
    <row r="332" spans="1:18"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c r="O332">
        <f>COUNTBLANK(tblbuyers[Income])</f>
        <v>0</v>
      </c>
      <c r="P332" t="str">
        <f>IF(tblbuyers[[#This Row],[Age]]&lt;30,"&lt;30",IF(tblbuyers[[#This Row],[Age]]&lt;=45,"30-45",IF(tblbuyers[[#This Row],[Age]]&lt;=60,"46-60","60+")))</f>
        <v>30-45</v>
      </c>
      <c r="Q332" t="str">
        <f>IF(tblbuyers[[#This Row],[Income]]&lt;30000,"Low",IF(tblbuyers[[#This Row],[Income]]&lt;=70000,"Medium","High"))</f>
        <v>High</v>
      </c>
      <c r="R332" s="7" t="str">
        <f>IF(OR(LOWER(TRIM(tblbuyers[[#This Row],[Purchased Bike]]))="yes",LOWER(TRIM(tblbuyers[[#This Row],[Purchased Bike]]))="y"),"Yes","No")</f>
        <v>No</v>
      </c>
    </row>
    <row r="333" spans="1:18"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c r="O333">
        <f>COUNTBLANK(tblbuyers[Income])</f>
        <v>0</v>
      </c>
      <c r="P333" t="str">
        <f>IF(tblbuyers[[#This Row],[Age]]&lt;30,"&lt;30",IF(tblbuyers[[#This Row],[Age]]&lt;=45,"30-45",IF(tblbuyers[[#This Row],[Age]]&lt;=60,"46-60","60+")))</f>
        <v>30-45</v>
      </c>
      <c r="Q333" t="str">
        <f>IF(tblbuyers[[#This Row],[Income]]&lt;30000,"Low",IF(tblbuyers[[#This Row],[Income]]&lt;=70000,"Medium","High"))</f>
        <v>Low</v>
      </c>
      <c r="R333" s="7" t="str">
        <f>IF(OR(LOWER(TRIM(tblbuyers[[#This Row],[Purchased Bike]]))="yes",LOWER(TRIM(tblbuyers[[#This Row],[Purchased Bike]]))="y"),"Yes","No")</f>
        <v>No</v>
      </c>
    </row>
    <row r="334" spans="1:18"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c r="O334">
        <f>COUNTBLANK(tblbuyers[Income])</f>
        <v>0</v>
      </c>
      <c r="P334" t="str">
        <f>IF(tblbuyers[[#This Row],[Age]]&lt;30,"&lt;30",IF(tblbuyers[[#This Row],[Age]]&lt;=45,"30-45",IF(tblbuyers[[#This Row],[Age]]&lt;=60,"46-60","60+")))</f>
        <v>30-45</v>
      </c>
      <c r="Q334" t="str">
        <f>IF(tblbuyers[[#This Row],[Income]]&lt;30000,"Low",IF(tblbuyers[[#This Row],[Income]]&lt;=70000,"Medium","High"))</f>
        <v>Low</v>
      </c>
      <c r="R334" s="7" t="str">
        <f>IF(OR(LOWER(TRIM(tblbuyers[[#This Row],[Purchased Bike]]))="yes",LOWER(TRIM(tblbuyers[[#This Row],[Purchased Bike]]))="y"),"Yes","No")</f>
        <v>Yes</v>
      </c>
    </row>
    <row r="335" spans="1:18"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c r="O335">
        <f>COUNTBLANK(tblbuyers[Income])</f>
        <v>0</v>
      </c>
      <c r="P335" t="str">
        <f>IF(tblbuyers[[#This Row],[Age]]&lt;30,"&lt;30",IF(tblbuyers[[#This Row],[Age]]&lt;=45,"30-45",IF(tblbuyers[[#This Row],[Age]]&lt;=60,"46-60","60+")))</f>
        <v>46-60</v>
      </c>
      <c r="Q335" t="str">
        <f>IF(tblbuyers[[#This Row],[Income]]&lt;30000,"Low",IF(tblbuyers[[#This Row],[Income]]&lt;=70000,"Medium","High"))</f>
        <v>High</v>
      </c>
      <c r="R335" s="7" t="str">
        <f>IF(OR(LOWER(TRIM(tblbuyers[[#This Row],[Purchased Bike]]))="yes",LOWER(TRIM(tblbuyers[[#This Row],[Purchased Bike]]))="y"),"Yes","No")</f>
        <v>Yes</v>
      </c>
    </row>
    <row r="336" spans="1:18"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c r="O336">
        <f>COUNTBLANK(tblbuyers[Income])</f>
        <v>0</v>
      </c>
      <c r="P336" t="str">
        <f>IF(tblbuyers[[#This Row],[Age]]&lt;30,"&lt;30",IF(tblbuyers[[#This Row],[Age]]&lt;=45,"30-45",IF(tblbuyers[[#This Row],[Age]]&lt;=60,"46-60","60+")))</f>
        <v>46-60</v>
      </c>
      <c r="Q336" t="str">
        <f>IF(tblbuyers[[#This Row],[Income]]&lt;30000,"Low",IF(tblbuyers[[#This Row],[Income]]&lt;=70000,"Medium","High"))</f>
        <v>High</v>
      </c>
      <c r="R336" s="7" t="str">
        <f>IF(OR(LOWER(TRIM(tblbuyers[[#This Row],[Purchased Bike]]))="yes",LOWER(TRIM(tblbuyers[[#This Row],[Purchased Bike]]))="y"),"Yes","No")</f>
        <v>No</v>
      </c>
    </row>
    <row r="337" spans="1:18"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c r="O337">
        <f>COUNTBLANK(tblbuyers[Income])</f>
        <v>0</v>
      </c>
      <c r="P337" t="str">
        <f>IF(tblbuyers[[#This Row],[Age]]&lt;30,"&lt;30",IF(tblbuyers[[#This Row],[Age]]&lt;=45,"30-45",IF(tblbuyers[[#This Row],[Age]]&lt;=60,"46-60","60+")))</f>
        <v>30-45</v>
      </c>
      <c r="Q337" t="str">
        <f>IF(tblbuyers[[#This Row],[Income]]&lt;30000,"Low",IF(tblbuyers[[#This Row],[Income]]&lt;=70000,"Medium","High"))</f>
        <v>High</v>
      </c>
      <c r="R337" s="7" t="str">
        <f>IF(OR(LOWER(TRIM(tblbuyers[[#This Row],[Purchased Bike]]))="yes",LOWER(TRIM(tblbuyers[[#This Row],[Purchased Bike]]))="y"),"Yes","No")</f>
        <v>No</v>
      </c>
    </row>
    <row r="338" spans="1:18"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c r="O338">
        <f>COUNTBLANK(tblbuyers[Income])</f>
        <v>0</v>
      </c>
      <c r="P338" t="str">
        <f>IF(tblbuyers[[#This Row],[Age]]&lt;30,"&lt;30",IF(tblbuyers[[#This Row],[Age]]&lt;=45,"30-45",IF(tblbuyers[[#This Row],[Age]]&lt;=60,"46-60","60+")))</f>
        <v>30-45</v>
      </c>
      <c r="Q338" t="str">
        <f>IF(tblbuyers[[#This Row],[Income]]&lt;30000,"Low",IF(tblbuyers[[#This Row],[Income]]&lt;=70000,"Medium","High"))</f>
        <v>Low</v>
      </c>
      <c r="R338" s="7" t="str">
        <f>IF(OR(LOWER(TRIM(tblbuyers[[#This Row],[Purchased Bike]]))="yes",LOWER(TRIM(tblbuyers[[#This Row],[Purchased Bike]]))="y"),"Yes","No")</f>
        <v>No</v>
      </c>
    </row>
    <row r="339" spans="1:18"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c r="O339">
        <f>COUNTBLANK(tblbuyers[Income])</f>
        <v>0</v>
      </c>
      <c r="P339" t="str">
        <f>IF(tblbuyers[[#This Row],[Age]]&lt;30,"&lt;30",IF(tblbuyers[[#This Row],[Age]]&lt;=45,"30-45",IF(tblbuyers[[#This Row],[Age]]&lt;=60,"46-60","60+")))</f>
        <v>30-45</v>
      </c>
      <c r="Q339" t="str">
        <f>IF(tblbuyers[[#This Row],[Income]]&lt;30000,"Low",IF(tblbuyers[[#This Row],[Income]]&lt;=70000,"Medium","High"))</f>
        <v>Low</v>
      </c>
      <c r="R339" s="7" t="str">
        <f>IF(OR(LOWER(TRIM(tblbuyers[[#This Row],[Purchased Bike]]))="yes",LOWER(TRIM(tblbuyers[[#This Row],[Purchased Bike]]))="y"),"Yes","No")</f>
        <v>No</v>
      </c>
    </row>
    <row r="340" spans="1:18"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c r="O340">
        <f>COUNTBLANK(tblbuyers[Income])</f>
        <v>0</v>
      </c>
      <c r="P340" t="str">
        <f>IF(tblbuyers[[#This Row],[Age]]&lt;30,"&lt;30",IF(tblbuyers[[#This Row],[Age]]&lt;=45,"30-45",IF(tblbuyers[[#This Row],[Age]]&lt;=60,"46-60","60+")))</f>
        <v>46-60</v>
      </c>
      <c r="Q340" t="str">
        <f>IF(tblbuyers[[#This Row],[Income]]&lt;30000,"Low",IF(tblbuyers[[#This Row],[Income]]&lt;=70000,"Medium","High"))</f>
        <v>High</v>
      </c>
      <c r="R340" s="7" t="str">
        <f>IF(OR(LOWER(TRIM(tblbuyers[[#This Row],[Purchased Bike]]))="yes",LOWER(TRIM(tblbuyers[[#This Row],[Purchased Bike]]))="y"),"Yes","No")</f>
        <v>Yes</v>
      </c>
    </row>
    <row r="341" spans="1:18"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c r="O341">
        <f>COUNTBLANK(tblbuyers[Income])</f>
        <v>0</v>
      </c>
      <c r="P341" t="str">
        <f>IF(tblbuyers[[#This Row],[Age]]&lt;30,"&lt;30",IF(tblbuyers[[#This Row],[Age]]&lt;=45,"30-45",IF(tblbuyers[[#This Row],[Age]]&lt;=60,"46-60","60+")))</f>
        <v>60+</v>
      </c>
      <c r="Q341" t="str">
        <f>IF(tblbuyers[[#This Row],[Income]]&lt;30000,"Low",IF(tblbuyers[[#This Row],[Income]]&lt;=70000,"Medium","High"))</f>
        <v>Low</v>
      </c>
      <c r="R341" s="7" t="str">
        <f>IF(OR(LOWER(TRIM(tblbuyers[[#This Row],[Purchased Bike]]))="yes",LOWER(TRIM(tblbuyers[[#This Row],[Purchased Bike]]))="y"),"Yes","No")</f>
        <v>No</v>
      </c>
    </row>
    <row r="342" spans="1:18"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c r="O342">
        <f>COUNTBLANK(tblbuyers[Income])</f>
        <v>0</v>
      </c>
      <c r="P342" t="str">
        <f>IF(tblbuyers[[#This Row],[Age]]&lt;30,"&lt;30",IF(tblbuyers[[#This Row],[Age]]&lt;=45,"30-45",IF(tblbuyers[[#This Row],[Age]]&lt;=60,"46-60","60+")))</f>
        <v>30-45</v>
      </c>
      <c r="Q342" t="str">
        <f>IF(tblbuyers[[#This Row],[Income]]&lt;30000,"Low",IF(tblbuyers[[#This Row],[Income]]&lt;=70000,"Medium","High"))</f>
        <v>Medium</v>
      </c>
      <c r="R342" s="7" t="str">
        <f>IF(OR(LOWER(TRIM(tblbuyers[[#This Row],[Purchased Bike]]))="yes",LOWER(TRIM(tblbuyers[[#This Row],[Purchased Bike]]))="y"),"Yes","No")</f>
        <v>No</v>
      </c>
    </row>
    <row r="343" spans="1:18"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c r="O343">
        <f>COUNTBLANK(tblbuyers[Income])</f>
        <v>0</v>
      </c>
      <c r="P343" t="str">
        <f>IF(tblbuyers[[#This Row],[Age]]&lt;30,"&lt;30",IF(tblbuyers[[#This Row],[Age]]&lt;=45,"30-45",IF(tblbuyers[[#This Row],[Age]]&lt;=60,"46-60","60+")))</f>
        <v>30-45</v>
      </c>
      <c r="Q343" t="str">
        <f>IF(tblbuyers[[#This Row],[Income]]&lt;30000,"Low",IF(tblbuyers[[#This Row],[Income]]&lt;=70000,"Medium","High"))</f>
        <v>Medium</v>
      </c>
      <c r="R343" s="7" t="str">
        <f>IF(OR(LOWER(TRIM(tblbuyers[[#This Row],[Purchased Bike]]))="yes",LOWER(TRIM(tblbuyers[[#This Row],[Purchased Bike]]))="y"),"Yes","No")</f>
        <v>Yes</v>
      </c>
    </row>
    <row r="344" spans="1:18"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c r="O344">
        <f>COUNTBLANK(tblbuyers[Income])</f>
        <v>0</v>
      </c>
      <c r="P344" t="str">
        <f>IF(tblbuyers[[#This Row],[Age]]&lt;30,"&lt;30",IF(tblbuyers[[#This Row],[Age]]&lt;=45,"30-45",IF(tblbuyers[[#This Row],[Age]]&lt;=60,"46-60","60+")))</f>
        <v>30-45</v>
      </c>
      <c r="Q344" t="str">
        <f>IF(tblbuyers[[#This Row],[Income]]&lt;30000,"Low",IF(tblbuyers[[#This Row],[Income]]&lt;=70000,"Medium","High"))</f>
        <v>Low</v>
      </c>
      <c r="R344" s="7" t="str">
        <f>IF(OR(LOWER(TRIM(tblbuyers[[#This Row],[Purchased Bike]]))="yes",LOWER(TRIM(tblbuyers[[#This Row],[Purchased Bike]]))="y"),"Yes","No")</f>
        <v>No</v>
      </c>
    </row>
    <row r="345" spans="1:18"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c r="O345">
        <f>COUNTBLANK(tblbuyers[Income])</f>
        <v>0</v>
      </c>
      <c r="P345" t="str">
        <f>IF(tblbuyers[[#This Row],[Age]]&lt;30,"&lt;30",IF(tblbuyers[[#This Row],[Age]]&lt;=45,"30-45",IF(tblbuyers[[#This Row],[Age]]&lt;=60,"46-60","60+")))</f>
        <v>30-45</v>
      </c>
      <c r="Q345" t="str">
        <f>IF(tblbuyers[[#This Row],[Income]]&lt;30000,"Low",IF(tblbuyers[[#This Row],[Income]]&lt;=70000,"Medium","High"))</f>
        <v>Medium</v>
      </c>
      <c r="R345" s="7" t="str">
        <f>IF(OR(LOWER(TRIM(tblbuyers[[#This Row],[Purchased Bike]]))="yes",LOWER(TRIM(tblbuyers[[#This Row],[Purchased Bike]]))="y"),"Yes","No")</f>
        <v>No</v>
      </c>
    </row>
    <row r="346" spans="1:18"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c r="O346">
        <f>COUNTBLANK(tblbuyers[Income])</f>
        <v>0</v>
      </c>
      <c r="P346" t="str">
        <f>IF(tblbuyers[[#This Row],[Age]]&lt;30,"&lt;30",IF(tblbuyers[[#This Row],[Age]]&lt;=45,"30-45",IF(tblbuyers[[#This Row],[Age]]&lt;=60,"46-60","60+")))</f>
        <v>30-45</v>
      </c>
      <c r="Q346" t="str">
        <f>IF(tblbuyers[[#This Row],[Income]]&lt;30000,"Low",IF(tblbuyers[[#This Row],[Income]]&lt;=70000,"Medium","High"))</f>
        <v>Medium</v>
      </c>
      <c r="R346" s="7" t="str">
        <f>IF(OR(LOWER(TRIM(tblbuyers[[#This Row],[Purchased Bike]]))="yes",LOWER(TRIM(tblbuyers[[#This Row],[Purchased Bike]]))="y"),"Yes","No")</f>
        <v>Yes</v>
      </c>
    </row>
    <row r="347" spans="1:18"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c r="O347">
        <f>COUNTBLANK(tblbuyers[Income])</f>
        <v>0</v>
      </c>
      <c r="P347" t="str">
        <f>IF(tblbuyers[[#This Row],[Age]]&lt;30,"&lt;30",IF(tblbuyers[[#This Row],[Age]]&lt;=45,"30-45",IF(tblbuyers[[#This Row],[Age]]&lt;=60,"46-60","60+")))</f>
        <v>46-60</v>
      </c>
      <c r="Q347" t="str">
        <f>IF(tblbuyers[[#This Row],[Income]]&lt;30000,"Low",IF(tblbuyers[[#This Row],[Income]]&lt;=70000,"Medium","High"))</f>
        <v>Low</v>
      </c>
      <c r="R347" s="7" t="str">
        <f>IF(OR(LOWER(TRIM(tblbuyers[[#This Row],[Purchased Bike]]))="yes",LOWER(TRIM(tblbuyers[[#This Row],[Purchased Bike]]))="y"),"Yes","No")</f>
        <v>Yes</v>
      </c>
    </row>
    <row r="348" spans="1:18"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c r="O348">
        <f>COUNTBLANK(tblbuyers[Income])</f>
        <v>0</v>
      </c>
      <c r="P348" t="str">
        <f>IF(tblbuyers[[#This Row],[Age]]&lt;30,"&lt;30",IF(tblbuyers[[#This Row],[Age]]&lt;=45,"30-45",IF(tblbuyers[[#This Row],[Age]]&lt;=60,"46-60","60+")))</f>
        <v>30-45</v>
      </c>
      <c r="Q348" t="str">
        <f>IF(tblbuyers[[#This Row],[Income]]&lt;30000,"Low",IF(tblbuyers[[#This Row],[Income]]&lt;=70000,"Medium","High"))</f>
        <v>Medium</v>
      </c>
      <c r="R348" s="7" t="str">
        <f>IF(OR(LOWER(TRIM(tblbuyers[[#This Row],[Purchased Bike]]))="yes",LOWER(TRIM(tblbuyers[[#This Row],[Purchased Bike]]))="y"),"Yes","No")</f>
        <v>Yes</v>
      </c>
    </row>
    <row r="349" spans="1:18"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c r="O349">
        <f>COUNTBLANK(tblbuyers[Income])</f>
        <v>0</v>
      </c>
      <c r="P349" t="str">
        <f>IF(tblbuyers[[#This Row],[Age]]&lt;30,"&lt;30",IF(tblbuyers[[#This Row],[Age]]&lt;=45,"30-45",IF(tblbuyers[[#This Row],[Age]]&lt;=60,"46-60","60+")))</f>
        <v>30-45</v>
      </c>
      <c r="Q349" t="str">
        <f>IF(tblbuyers[[#This Row],[Income]]&lt;30000,"Low",IF(tblbuyers[[#This Row],[Income]]&lt;=70000,"Medium","High"))</f>
        <v>Medium</v>
      </c>
      <c r="R349" s="7" t="str">
        <f>IF(OR(LOWER(TRIM(tblbuyers[[#This Row],[Purchased Bike]]))="yes",LOWER(TRIM(tblbuyers[[#This Row],[Purchased Bike]]))="y"),"Yes","No")</f>
        <v>Yes</v>
      </c>
    </row>
    <row r="350" spans="1:18"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c r="O350">
        <f>COUNTBLANK(tblbuyers[Income])</f>
        <v>0</v>
      </c>
      <c r="P350" t="str">
        <f>IF(tblbuyers[[#This Row],[Age]]&lt;30,"&lt;30",IF(tblbuyers[[#This Row],[Age]]&lt;=45,"30-45",IF(tblbuyers[[#This Row],[Age]]&lt;=60,"46-60","60+")))</f>
        <v>30-45</v>
      </c>
      <c r="Q350" t="str">
        <f>IF(tblbuyers[[#This Row],[Income]]&lt;30000,"Low",IF(tblbuyers[[#This Row],[Income]]&lt;=70000,"Medium","High"))</f>
        <v>Low</v>
      </c>
      <c r="R350" s="7" t="str">
        <f>IF(OR(LOWER(TRIM(tblbuyers[[#This Row],[Purchased Bike]]))="yes",LOWER(TRIM(tblbuyers[[#This Row],[Purchased Bike]]))="y"),"Yes","No")</f>
        <v>No</v>
      </c>
    </row>
    <row r="351" spans="1:18"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c r="O351">
        <f>COUNTBLANK(tblbuyers[Income])</f>
        <v>0</v>
      </c>
      <c r="P351" t="str">
        <f>IF(tblbuyers[[#This Row],[Age]]&lt;30,"&lt;30",IF(tblbuyers[[#This Row],[Age]]&lt;=45,"30-45",IF(tblbuyers[[#This Row],[Age]]&lt;=60,"46-60","60+")))</f>
        <v>&lt;30</v>
      </c>
      <c r="Q351" t="str">
        <f>IF(tblbuyers[[#This Row],[Income]]&lt;30000,"Low",IF(tblbuyers[[#This Row],[Income]]&lt;=70000,"Medium","High"))</f>
        <v>Medium</v>
      </c>
      <c r="R351" s="7" t="str">
        <f>IF(OR(LOWER(TRIM(tblbuyers[[#This Row],[Purchased Bike]]))="yes",LOWER(TRIM(tblbuyers[[#This Row],[Purchased Bike]]))="y"),"Yes","No")</f>
        <v>Yes</v>
      </c>
    </row>
    <row r="352" spans="1:18"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c r="O352">
        <f>COUNTBLANK(tblbuyers[Income])</f>
        <v>0</v>
      </c>
      <c r="P352" t="str">
        <f>IF(tblbuyers[[#This Row],[Age]]&lt;30,"&lt;30",IF(tblbuyers[[#This Row],[Age]]&lt;=45,"30-45",IF(tblbuyers[[#This Row],[Age]]&lt;=60,"46-60","60+")))</f>
        <v>&lt;30</v>
      </c>
      <c r="Q352" t="str">
        <f>IF(tblbuyers[[#This Row],[Income]]&lt;30000,"Low",IF(tblbuyers[[#This Row],[Income]]&lt;=70000,"Medium","High"))</f>
        <v>Low</v>
      </c>
      <c r="R352" s="7" t="str">
        <f>IF(OR(LOWER(TRIM(tblbuyers[[#This Row],[Purchased Bike]]))="yes",LOWER(TRIM(tblbuyers[[#This Row],[Purchased Bike]]))="y"),"Yes","No")</f>
        <v>Yes</v>
      </c>
    </row>
    <row r="353" spans="1:18"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c r="O353">
        <f>COUNTBLANK(tblbuyers[Income])</f>
        <v>0</v>
      </c>
      <c r="P353" t="str">
        <f>IF(tblbuyers[[#This Row],[Age]]&lt;30,"&lt;30",IF(tblbuyers[[#This Row],[Age]]&lt;=45,"30-45",IF(tblbuyers[[#This Row],[Age]]&lt;=60,"46-60","60+")))</f>
        <v>30-45</v>
      </c>
      <c r="Q353" t="str">
        <f>IF(tblbuyers[[#This Row],[Income]]&lt;30000,"Low",IF(tblbuyers[[#This Row],[Income]]&lt;=70000,"Medium","High"))</f>
        <v>Low</v>
      </c>
      <c r="R353" s="7" t="str">
        <f>IF(OR(LOWER(TRIM(tblbuyers[[#This Row],[Purchased Bike]]))="yes",LOWER(TRIM(tblbuyers[[#This Row],[Purchased Bike]]))="y"),"Yes","No")</f>
        <v>Yes</v>
      </c>
    </row>
    <row r="354" spans="1:18"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c r="O354">
        <f>COUNTBLANK(tblbuyers[Income])</f>
        <v>0</v>
      </c>
      <c r="P354" t="str">
        <f>IF(tblbuyers[[#This Row],[Age]]&lt;30,"&lt;30",IF(tblbuyers[[#This Row],[Age]]&lt;=45,"30-45",IF(tblbuyers[[#This Row],[Age]]&lt;=60,"46-60","60+")))</f>
        <v>46-60</v>
      </c>
      <c r="Q354" t="str">
        <f>IF(tblbuyers[[#This Row],[Income]]&lt;30000,"Low",IF(tblbuyers[[#This Row],[Income]]&lt;=70000,"Medium","High"))</f>
        <v>High</v>
      </c>
      <c r="R354" s="7" t="str">
        <f>IF(OR(LOWER(TRIM(tblbuyers[[#This Row],[Purchased Bike]]))="yes",LOWER(TRIM(tblbuyers[[#This Row],[Purchased Bike]]))="y"),"Yes","No")</f>
        <v>No</v>
      </c>
    </row>
    <row r="355" spans="1:18"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c r="O355">
        <f>COUNTBLANK(tblbuyers[Income])</f>
        <v>0</v>
      </c>
      <c r="P355" t="str">
        <f>IF(tblbuyers[[#This Row],[Age]]&lt;30,"&lt;30",IF(tblbuyers[[#This Row],[Age]]&lt;=45,"30-45",IF(tblbuyers[[#This Row],[Age]]&lt;=60,"46-60","60+")))</f>
        <v>30-45</v>
      </c>
      <c r="Q355" t="str">
        <f>IF(tblbuyers[[#This Row],[Income]]&lt;30000,"Low",IF(tblbuyers[[#This Row],[Income]]&lt;=70000,"Medium","High"))</f>
        <v>Medium</v>
      </c>
      <c r="R355" s="7" t="str">
        <f>IF(OR(LOWER(TRIM(tblbuyers[[#This Row],[Purchased Bike]]))="yes",LOWER(TRIM(tblbuyers[[#This Row],[Purchased Bike]]))="y"),"Yes","No")</f>
        <v>Yes</v>
      </c>
    </row>
    <row r="356" spans="1:18"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c r="O356">
        <f>COUNTBLANK(tblbuyers[Income])</f>
        <v>0</v>
      </c>
      <c r="P356" t="str">
        <f>IF(tblbuyers[[#This Row],[Age]]&lt;30,"&lt;30",IF(tblbuyers[[#This Row],[Age]]&lt;=45,"30-45",IF(tblbuyers[[#This Row],[Age]]&lt;=60,"46-60","60+")))</f>
        <v>30-45</v>
      </c>
      <c r="Q356" t="str">
        <f>IF(tblbuyers[[#This Row],[Income]]&lt;30000,"Low",IF(tblbuyers[[#This Row],[Income]]&lt;=70000,"Medium","High"))</f>
        <v>Medium</v>
      </c>
      <c r="R356" s="7" t="str">
        <f>IF(OR(LOWER(TRIM(tblbuyers[[#This Row],[Purchased Bike]]))="yes",LOWER(TRIM(tblbuyers[[#This Row],[Purchased Bike]]))="y"),"Yes","No")</f>
        <v>No</v>
      </c>
    </row>
    <row r="357" spans="1:18" x14ac:dyDescent="0.25">
      <c r="A357">
        <v>17238</v>
      </c>
      <c r="B357" t="s">
        <v>37</v>
      </c>
      <c r="C357" t="s">
        <v>39</v>
      </c>
      <c r="D357" s="3">
        <v>80000</v>
      </c>
      <c r="E357">
        <v>0</v>
      </c>
      <c r="F357" t="s">
        <v>13</v>
      </c>
      <c r="G357" t="s">
        <v>21</v>
      </c>
      <c r="H357" t="s">
        <v>15</v>
      </c>
      <c r="I357">
        <v>3</v>
      </c>
      <c r="J357" t="s">
        <v>30</v>
      </c>
      <c r="K357" t="s">
        <v>24</v>
      </c>
      <c r="L357">
        <v>32</v>
      </c>
      <c r="M357" t="str">
        <f t="shared" si="5"/>
        <v>Middle Age</v>
      </c>
      <c r="N357" t="s">
        <v>18</v>
      </c>
      <c r="O357">
        <f>COUNTBLANK(tblbuyers[Income])</f>
        <v>0</v>
      </c>
      <c r="P357" t="str">
        <f>IF(tblbuyers[[#This Row],[Age]]&lt;30,"&lt;30",IF(tblbuyers[[#This Row],[Age]]&lt;=45,"30-45",IF(tblbuyers[[#This Row],[Age]]&lt;=60,"46-60","60+")))</f>
        <v>30-45</v>
      </c>
      <c r="Q357" t="str">
        <f>IF(tblbuyers[[#This Row],[Income]]&lt;30000,"Low",IF(tblbuyers[[#This Row],[Income]]&lt;=70000,"Medium","High"))</f>
        <v>High</v>
      </c>
      <c r="R357" s="7" t="str">
        <f>IF(OR(LOWER(TRIM(tblbuyers[[#This Row],[Purchased Bike]]))="yes",LOWER(TRIM(tblbuyers[[#This Row],[Purchased Bike]]))="y"),"Yes","No")</f>
        <v>No</v>
      </c>
    </row>
    <row r="358" spans="1:18"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c r="O358">
        <f>COUNTBLANK(tblbuyers[Income])</f>
        <v>0</v>
      </c>
      <c r="P358" t="str">
        <f>IF(tblbuyers[[#This Row],[Age]]&lt;30,"&lt;30",IF(tblbuyers[[#This Row],[Age]]&lt;=45,"30-45",IF(tblbuyers[[#This Row],[Age]]&lt;=60,"46-60","60+")))</f>
        <v>46-60</v>
      </c>
      <c r="Q358" t="str">
        <f>IF(tblbuyers[[#This Row],[Income]]&lt;30000,"Low",IF(tblbuyers[[#This Row],[Income]]&lt;=70000,"Medium","High"))</f>
        <v>High</v>
      </c>
      <c r="R358" s="7" t="str">
        <f>IF(OR(LOWER(TRIM(tblbuyers[[#This Row],[Purchased Bike]]))="yes",LOWER(TRIM(tblbuyers[[#This Row],[Purchased Bike]]))="y"),"Yes","No")</f>
        <v>Yes</v>
      </c>
    </row>
    <row r="359" spans="1:18"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c r="O359">
        <f>COUNTBLANK(tblbuyers[Income])</f>
        <v>0</v>
      </c>
      <c r="P359" t="str">
        <f>IF(tblbuyers[[#This Row],[Age]]&lt;30,"&lt;30",IF(tblbuyers[[#This Row],[Age]]&lt;=45,"30-45",IF(tblbuyers[[#This Row],[Age]]&lt;=60,"46-60","60+")))</f>
        <v>30-45</v>
      </c>
      <c r="Q359" t="str">
        <f>IF(tblbuyers[[#This Row],[Income]]&lt;30000,"Low",IF(tblbuyers[[#This Row],[Income]]&lt;=70000,"Medium","High"))</f>
        <v>Low</v>
      </c>
      <c r="R359" s="7" t="str">
        <f>IF(OR(LOWER(TRIM(tblbuyers[[#This Row],[Purchased Bike]]))="yes",LOWER(TRIM(tblbuyers[[#This Row],[Purchased Bike]]))="y"),"Yes","No")</f>
        <v>No</v>
      </c>
    </row>
    <row r="360" spans="1:18"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c r="O360">
        <f>COUNTBLANK(tblbuyers[Income])</f>
        <v>0</v>
      </c>
      <c r="P360" t="str">
        <f>IF(tblbuyers[[#This Row],[Age]]&lt;30,"&lt;30",IF(tblbuyers[[#This Row],[Age]]&lt;=45,"30-45",IF(tblbuyers[[#This Row],[Age]]&lt;=60,"46-60","60+")))</f>
        <v>46-60</v>
      </c>
      <c r="Q360" t="str">
        <f>IF(tblbuyers[[#This Row],[Income]]&lt;30000,"Low",IF(tblbuyers[[#This Row],[Income]]&lt;=70000,"Medium","High"))</f>
        <v>High</v>
      </c>
      <c r="R360" s="7" t="str">
        <f>IF(OR(LOWER(TRIM(tblbuyers[[#This Row],[Purchased Bike]]))="yes",LOWER(TRIM(tblbuyers[[#This Row],[Purchased Bike]]))="y"),"Yes","No")</f>
        <v>Yes</v>
      </c>
    </row>
    <row r="361" spans="1:18" x14ac:dyDescent="0.25">
      <c r="A361">
        <v>17230</v>
      </c>
      <c r="B361" t="s">
        <v>36</v>
      </c>
      <c r="C361" t="s">
        <v>39</v>
      </c>
      <c r="D361" s="3">
        <v>80000</v>
      </c>
      <c r="E361">
        <v>0</v>
      </c>
      <c r="F361" t="s">
        <v>13</v>
      </c>
      <c r="G361" t="s">
        <v>21</v>
      </c>
      <c r="H361" t="s">
        <v>15</v>
      </c>
      <c r="I361">
        <v>3</v>
      </c>
      <c r="J361" t="s">
        <v>30</v>
      </c>
      <c r="K361" t="s">
        <v>24</v>
      </c>
      <c r="L361">
        <v>30</v>
      </c>
      <c r="M361" t="str">
        <f t="shared" si="5"/>
        <v>Adolescent</v>
      </c>
      <c r="N361" t="s">
        <v>18</v>
      </c>
      <c r="O361">
        <f>COUNTBLANK(tblbuyers[Income])</f>
        <v>0</v>
      </c>
      <c r="P361" t="str">
        <f>IF(tblbuyers[[#This Row],[Age]]&lt;30,"&lt;30",IF(tblbuyers[[#This Row],[Age]]&lt;=45,"30-45",IF(tblbuyers[[#This Row],[Age]]&lt;=60,"46-60","60+")))</f>
        <v>30-45</v>
      </c>
      <c r="Q361" t="str">
        <f>IF(tblbuyers[[#This Row],[Income]]&lt;30000,"Low",IF(tblbuyers[[#This Row],[Income]]&lt;=70000,"Medium","High"))</f>
        <v>High</v>
      </c>
      <c r="R361" s="7" t="str">
        <f>IF(OR(LOWER(TRIM(tblbuyers[[#This Row],[Purchased Bike]]))="yes",LOWER(TRIM(tblbuyers[[#This Row],[Purchased Bike]]))="y"),"Yes","No")</f>
        <v>No</v>
      </c>
    </row>
    <row r="362" spans="1:18"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c r="O362">
        <f>COUNTBLANK(tblbuyers[Income])</f>
        <v>0</v>
      </c>
      <c r="P362" t="str">
        <f>IF(tblbuyers[[#This Row],[Age]]&lt;30,"&lt;30",IF(tblbuyers[[#This Row],[Age]]&lt;=45,"30-45",IF(tblbuyers[[#This Row],[Age]]&lt;=60,"46-60","60+")))</f>
        <v>46-60</v>
      </c>
      <c r="Q362" t="str">
        <f>IF(tblbuyers[[#This Row],[Income]]&lt;30000,"Low",IF(tblbuyers[[#This Row],[Income]]&lt;=70000,"Medium","High"))</f>
        <v>High</v>
      </c>
      <c r="R362" s="7" t="str">
        <f>IF(OR(LOWER(TRIM(tblbuyers[[#This Row],[Purchased Bike]]))="yes",LOWER(TRIM(tblbuyers[[#This Row],[Purchased Bike]]))="y"),"Yes","No")</f>
        <v>Yes</v>
      </c>
    </row>
    <row r="363" spans="1:18"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c r="O363">
        <f>COUNTBLANK(tblbuyers[Income])</f>
        <v>0</v>
      </c>
      <c r="P363" t="str">
        <f>IF(tblbuyers[[#This Row],[Age]]&lt;30,"&lt;30",IF(tblbuyers[[#This Row],[Age]]&lt;=45,"30-45",IF(tblbuyers[[#This Row],[Age]]&lt;=60,"46-60","60+")))</f>
        <v>&lt;30</v>
      </c>
      <c r="Q363" t="str">
        <f>IF(tblbuyers[[#This Row],[Income]]&lt;30000,"Low",IF(tblbuyers[[#This Row],[Income]]&lt;=70000,"Medium","High"))</f>
        <v>Medium</v>
      </c>
      <c r="R363" s="7" t="str">
        <f>IF(OR(LOWER(TRIM(tblbuyers[[#This Row],[Purchased Bike]]))="yes",LOWER(TRIM(tblbuyers[[#This Row],[Purchased Bike]]))="y"),"Yes","No")</f>
        <v>Yes</v>
      </c>
    </row>
    <row r="364" spans="1:18"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c r="O364">
        <f>COUNTBLANK(tblbuyers[Income])</f>
        <v>0</v>
      </c>
      <c r="P364" t="str">
        <f>IF(tblbuyers[[#This Row],[Age]]&lt;30,"&lt;30",IF(tblbuyers[[#This Row],[Age]]&lt;=45,"30-45",IF(tblbuyers[[#This Row],[Age]]&lt;=60,"46-60","60+")))</f>
        <v>30-45</v>
      </c>
      <c r="Q364" t="str">
        <f>IF(tblbuyers[[#This Row],[Income]]&lt;30000,"Low",IF(tblbuyers[[#This Row],[Income]]&lt;=70000,"Medium","High"))</f>
        <v>Medium</v>
      </c>
      <c r="R364" s="7" t="str">
        <f>IF(OR(LOWER(TRIM(tblbuyers[[#This Row],[Purchased Bike]]))="yes",LOWER(TRIM(tblbuyers[[#This Row],[Purchased Bike]]))="y"),"Yes","No")</f>
        <v>Yes</v>
      </c>
    </row>
    <row r="365" spans="1:18"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c r="O365">
        <f>COUNTBLANK(tblbuyers[Income])</f>
        <v>0</v>
      </c>
      <c r="P365" t="str">
        <f>IF(tblbuyers[[#This Row],[Age]]&lt;30,"&lt;30",IF(tblbuyers[[#This Row],[Age]]&lt;=45,"30-45",IF(tblbuyers[[#This Row],[Age]]&lt;=60,"46-60","60+")))</f>
        <v>60+</v>
      </c>
      <c r="Q365" t="str">
        <f>IF(tblbuyers[[#This Row],[Income]]&lt;30000,"Low",IF(tblbuyers[[#This Row],[Income]]&lt;=70000,"Medium","High"))</f>
        <v>Medium</v>
      </c>
      <c r="R365" s="7" t="str">
        <f>IF(OR(LOWER(TRIM(tblbuyers[[#This Row],[Purchased Bike]]))="yes",LOWER(TRIM(tblbuyers[[#This Row],[Purchased Bike]]))="y"),"Yes","No")</f>
        <v>Yes</v>
      </c>
    </row>
    <row r="366" spans="1:18"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c r="O366">
        <f>COUNTBLANK(tblbuyers[Income])</f>
        <v>0</v>
      </c>
      <c r="P366" t="str">
        <f>IF(tblbuyers[[#This Row],[Age]]&lt;30,"&lt;30",IF(tblbuyers[[#This Row],[Age]]&lt;=45,"30-45",IF(tblbuyers[[#This Row],[Age]]&lt;=60,"46-60","60+")))</f>
        <v>30-45</v>
      </c>
      <c r="Q366" t="str">
        <f>IF(tblbuyers[[#This Row],[Income]]&lt;30000,"Low",IF(tblbuyers[[#This Row],[Income]]&lt;=70000,"Medium","High"))</f>
        <v>Low</v>
      </c>
      <c r="R366" s="7" t="str">
        <f>IF(OR(LOWER(TRIM(tblbuyers[[#This Row],[Purchased Bike]]))="yes",LOWER(TRIM(tblbuyers[[#This Row],[Purchased Bike]]))="y"),"Yes","No")</f>
        <v>Yes</v>
      </c>
    </row>
    <row r="367" spans="1:18"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c r="O367">
        <f>COUNTBLANK(tblbuyers[Income])</f>
        <v>0</v>
      </c>
      <c r="P367" t="str">
        <f>IF(tblbuyers[[#This Row],[Age]]&lt;30,"&lt;30",IF(tblbuyers[[#This Row],[Age]]&lt;=45,"30-45",IF(tblbuyers[[#This Row],[Age]]&lt;=60,"46-60","60+")))</f>
        <v>30-45</v>
      </c>
      <c r="Q367" t="str">
        <f>IF(tblbuyers[[#This Row],[Income]]&lt;30000,"Low",IF(tblbuyers[[#This Row],[Income]]&lt;=70000,"Medium","High"))</f>
        <v>Medium</v>
      </c>
      <c r="R367" s="7" t="str">
        <f>IF(OR(LOWER(TRIM(tblbuyers[[#This Row],[Purchased Bike]]))="yes",LOWER(TRIM(tblbuyers[[#This Row],[Purchased Bike]]))="y"),"Yes","No")</f>
        <v>Yes</v>
      </c>
    </row>
    <row r="368" spans="1:18"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c r="O368">
        <f>COUNTBLANK(tblbuyers[Income])</f>
        <v>0</v>
      </c>
      <c r="P368" t="str">
        <f>IF(tblbuyers[[#This Row],[Age]]&lt;30,"&lt;30",IF(tblbuyers[[#This Row],[Age]]&lt;=45,"30-45",IF(tblbuyers[[#This Row],[Age]]&lt;=60,"46-60","60+")))</f>
        <v>30-45</v>
      </c>
      <c r="Q368" t="str">
        <f>IF(tblbuyers[[#This Row],[Income]]&lt;30000,"Low",IF(tblbuyers[[#This Row],[Income]]&lt;=70000,"Medium","High"))</f>
        <v>Medium</v>
      </c>
      <c r="R368" s="7" t="str">
        <f>IF(OR(LOWER(TRIM(tblbuyers[[#This Row],[Purchased Bike]]))="yes",LOWER(TRIM(tblbuyers[[#This Row],[Purchased Bike]]))="y"),"Yes","No")</f>
        <v>Yes</v>
      </c>
    </row>
    <row r="369" spans="1:18"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c r="O369">
        <f>COUNTBLANK(tblbuyers[Income])</f>
        <v>0</v>
      </c>
      <c r="P369" t="str">
        <f>IF(tblbuyers[[#This Row],[Age]]&lt;30,"&lt;30",IF(tblbuyers[[#This Row],[Age]]&lt;=45,"30-45",IF(tblbuyers[[#This Row],[Age]]&lt;=60,"46-60","60+")))</f>
        <v>46-60</v>
      </c>
      <c r="Q369" t="str">
        <f>IF(tblbuyers[[#This Row],[Income]]&lt;30000,"Low",IF(tblbuyers[[#This Row],[Income]]&lt;=70000,"Medium","High"))</f>
        <v>High</v>
      </c>
      <c r="R369" s="7" t="str">
        <f>IF(OR(LOWER(TRIM(tblbuyers[[#This Row],[Purchased Bike]]))="yes",LOWER(TRIM(tblbuyers[[#This Row],[Purchased Bike]]))="y"),"Yes","No")</f>
        <v>Yes</v>
      </c>
    </row>
    <row r="370" spans="1:18"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c r="O370">
        <f>COUNTBLANK(tblbuyers[Income])</f>
        <v>0</v>
      </c>
      <c r="P370" t="str">
        <f>IF(tblbuyers[[#This Row],[Age]]&lt;30,"&lt;30",IF(tblbuyers[[#This Row],[Age]]&lt;=45,"30-45",IF(tblbuyers[[#This Row],[Age]]&lt;=60,"46-60","60+")))</f>
        <v>46-60</v>
      </c>
      <c r="Q370" t="str">
        <f>IF(tblbuyers[[#This Row],[Income]]&lt;30000,"Low",IF(tblbuyers[[#This Row],[Income]]&lt;=70000,"Medium","High"))</f>
        <v>Medium</v>
      </c>
      <c r="R370" s="7" t="str">
        <f>IF(OR(LOWER(TRIM(tblbuyers[[#This Row],[Purchased Bike]]))="yes",LOWER(TRIM(tblbuyers[[#This Row],[Purchased Bike]]))="y"),"Yes","No")</f>
        <v>Yes</v>
      </c>
    </row>
    <row r="371" spans="1:18"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c r="O371">
        <f>COUNTBLANK(tblbuyers[Income])</f>
        <v>0</v>
      </c>
      <c r="P371" t="str">
        <f>IF(tblbuyers[[#This Row],[Age]]&lt;30,"&lt;30",IF(tblbuyers[[#This Row],[Age]]&lt;=45,"30-45",IF(tblbuyers[[#This Row],[Age]]&lt;=60,"46-60","60+")))</f>
        <v>46-60</v>
      </c>
      <c r="Q371" t="str">
        <f>IF(tblbuyers[[#This Row],[Income]]&lt;30000,"Low",IF(tblbuyers[[#This Row],[Income]]&lt;=70000,"Medium","High"))</f>
        <v>Low</v>
      </c>
      <c r="R371" s="7" t="str">
        <f>IF(OR(LOWER(TRIM(tblbuyers[[#This Row],[Purchased Bike]]))="yes",LOWER(TRIM(tblbuyers[[#This Row],[Purchased Bike]]))="y"),"Yes","No")</f>
        <v>Yes</v>
      </c>
    </row>
    <row r="372" spans="1:18" x14ac:dyDescent="0.25">
      <c r="A372">
        <v>17324</v>
      </c>
      <c r="B372" t="s">
        <v>36</v>
      </c>
      <c r="C372" t="s">
        <v>38</v>
      </c>
      <c r="D372" s="3">
        <v>100000</v>
      </c>
      <c r="E372">
        <v>4</v>
      </c>
      <c r="F372" t="s">
        <v>13</v>
      </c>
      <c r="G372" t="s">
        <v>21</v>
      </c>
      <c r="H372" t="s">
        <v>15</v>
      </c>
      <c r="I372">
        <v>1</v>
      </c>
      <c r="J372" t="s">
        <v>30</v>
      </c>
      <c r="K372" t="s">
        <v>24</v>
      </c>
      <c r="L372">
        <v>46</v>
      </c>
      <c r="M372" t="str">
        <f t="shared" si="5"/>
        <v>Middle Age</v>
      </c>
      <c r="N372" t="s">
        <v>18</v>
      </c>
      <c r="O372">
        <f>COUNTBLANK(tblbuyers[Income])</f>
        <v>0</v>
      </c>
      <c r="P372" t="str">
        <f>IF(tblbuyers[[#This Row],[Age]]&lt;30,"&lt;30",IF(tblbuyers[[#This Row],[Age]]&lt;=45,"30-45",IF(tblbuyers[[#This Row],[Age]]&lt;=60,"46-60","60+")))</f>
        <v>46-60</v>
      </c>
      <c r="Q372" t="str">
        <f>IF(tblbuyers[[#This Row],[Income]]&lt;30000,"Low",IF(tblbuyers[[#This Row],[Income]]&lt;=70000,"Medium","High"))</f>
        <v>High</v>
      </c>
      <c r="R372" s="7" t="str">
        <f>IF(OR(LOWER(TRIM(tblbuyers[[#This Row],[Purchased Bike]]))="yes",LOWER(TRIM(tblbuyers[[#This Row],[Purchased Bike]]))="y"),"Yes","No")</f>
        <v>No</v>
      </c>
    </row>
    <row r="373" spans="1:18"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c r="O373">
        <f>COUNTBLANK(tblbuyers[Income])</f>
        <v>0</v>
      </c>
      <c r="P373" t="str">
        <f>IF(tblbuyers[[#This Row],[Age]]&lt;30,"&lt;30",IF(tblbuyers[[#This Row],[Age]]&lt;=45,"30-45",IF(tblbuyers[[#This Row],[Age]]&lt;=60,"46-60","60+")))</f>
        <v>46-60</v>
      </c>
      <c r="Q373" t="str">
        <f>IF(tblbuyers[[#This Row],[Income]]&lt;30000,"Low",IF(tblbuyers[[#This Row],[Income]]&lt;=70000,"Medium","High"))</f>
        <v>High</v>
      </c>
      <c r="R373" s="7" t="str">
        <f>IF(OR(LOWER(TRIM(tblbuyers[[#This Row],[Purchased Bike]]))="yes",LOWER(TRIM(tblbuyers[[#This Row],[Purchased Bike]]))="y"),"Yes","No")</f>
        <v>No</v>
      </c>
    </row>
    <row r="374" spans="1:18"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c r="O374">
        <f>COUNTBLANK(tblbuyers[Income])</f>
        <v>0</v>
      </c>
      <c r="P374" t="str">
        <f>IF(tblbuyers[[#This Row],[Age]]&lt;30,"&lt;30",IF(tblbuyers[[#This Row],[Age]]&lt;=45,"30-45",IF(tblbuyers[[#This Row],[Age]]&lt;=60,"46-60","60+")))</f>
        <v>30-45</v>
      </c>
      <c r="Q374" t="str">
        <f>IF(tblbuyers[[#This Row],[Income]]&lt;30000,"Low",IF(tblbuyers[[#This Row],[Income]]&lt;=70000,"Medium","High"))</f>
        <v>Medium</v>
      </c>
      <c r="R374" s="7" t="str">
        <f>IF(OR(LOWER(TRIM(tblbuyers[[#This Row],[Purchased Bike]]))="yes",LOWER(TRIM(tblbuyers[[#This Row],[Purchased Bike]]))="y"),"Yes","No")</f>
        <v>Yes</v>
      </c>
    </row>
    <row r="375" spans="1:18"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c r="O375">
        <f>COUNTBLANK(tblbuyers[Income])</f>
        <v>0</v>
      </c>
      <c r="P375" t="str">
        <f>IF(tblbuyers[[#This Row],[Age]]&lt;30,"&lt;30",IF(tblbuyers[[#This Row],[Age]]&lt;=45,"30-45",IF(tblbuyers[[#This Row],[Age]]&lt;=60,"46-60","60+")))</f>
        <v>30-45</v>
      </c>
      <c r="Q375" t="str">
        <f>IF(tblbuyers[[#This Row],[Income]]&lt;30000,"Low",IF(tblbuyers[[#This Row],[Income]]&lt;=70000,"Medium","High"))</f>
        <v>Low</v>
      </c>
      <c r="R375" s="7" t="str">
        <f>IF(OR(LOWER(TRIM(tblbuyers[[#This Row],[Purchased Bike]]))="yes",LOWER(TRIM(tblbuyers[[#This Row],[Purchased Bike]]))="y"),"Yes","No")</f>
        <v>No</v>
      </c>
    </row>
    <row r="376" spans="1:18"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c r="O376">
        <f>COUNTBLANK(tblbuyers[Income])</f>
        <v>0</v>
      </c>
      <c r="P376" t="str">
        <f>IF(tblbuyers[[#This Row],[Age]]&lt;30,"&lt;30",IF(tblbuyers[[#This Row],[Age]]&lt;=45,"30-45",IF(tblbuyers[[#This Row],[Age]]&lt;=60,"46-60","60+")))</f>
        <v>30-45</v>
      </c>
      <c r="Q376" t="str">
        <f>IF(tblbuyers[[#This Row],[Income]]&lt;30000,"Low",IF(tblbuyers[[#This Row],[Income]]&lt;=70000,"Medium","High"))</f>
        <v>High</v>
      </c>
      <c r="R376" s="7" t="str">
        <f>IF(OR(LOWER(TRIM(tblbuyers[[#This Row],[Purchased Bike]]))="yes",LOWER(TRIM(tblbuyers[[#This Row],[Purchased Bike]]))="y"),"Yes","No")</f>
        <v>No</v>
      </c>
    </row>
    <row r="377" spans="1:18"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c r="O377">
        <f>COUNTBLANK(tblbuyers[Income])</f>
        <v>0</v>
      </c>
      <c r="P377" t="str">
        <f>IF(tblbuyers[[#This Row],[Age]]&lt;30,"&lt;30",IF(tblbuyers[[#This Row],[Age]]&lt;=45,"30-45",IF(tblbuyers[[#This Row],[Age]]&lt;=60,"46-60","60+")))</f>
        <v>60+</v>
      </c>
      <c r="Q377" t="str">
        <f>IF(tblbuyers[[#This Row],[Income]]&lt;30000,"Low",IF(tblbuyers[[#This Row],[Income]]&lt;=70000,"Medium","High"))</f>
        <v>Medium</v>
      </c>
      <c r="R377" s="7" t="str">
        <f>IF(OR(LOWER(TRIM(tblbuyers[[#This Row],[Purchased Bike]]))="yes",LOWER(TRIM(tblbuyers[[#This Row],[Purchased Bike]]))="y"),"Yes","No")</f>
        <v>No</v>
      </c>
    </row>
    <row r="378" spans="1:18"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c r="O378">
        <f>COUNTBLANK(tblbuyers[Income])</f>
        <v>0</v>
      </c>
      <c r="P378" t="str">
        <f>IF(tblbuyers[[#This Row],[Age]]&lt;30,"&lt;30",IF(tblbuyers[[#This Row],[Age]]&lt;=45,"30-45",IF(tblbuyers[[#This Row],[Age]]&lt;=60,"46-60","60+")))</f>
        <v>60+</v>
      </c>
      <c r="Q378" t="str">
        <f>IF(tblbuyers[[#This Row],[Income]]&lt;30000,"Low",IF(tblbuyers[[#This Row],[Income]]&lt;=70000,"Medium","High"))</f>
        <v>Low</v>
      </c>
      <c r="R378" s="7" t="str">
        <f>IF(OR(LOWER(TRIM(tblbuyers[[#This Row],[Purchased Bike]]))="yes",LOWER(TRIM(tblbuyers[[#This Row],[Purchased Bike]]))="y"),"Yes","No")</f>
        <v>Yes</v>
      </c>
    </row>
    <row r="379" spans="1:18"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c r="O379">
        <f>COUNTBLANK(tblbuyers[Income])</f>
        <v>0</v>
      </c>
      <c r="P379" t="str">
        <f>IF(tblbuyers[[#This Row],[Age]]&lt;30,"&lt;30",IF(tblbuyers[[#This Row],[Age]]&lt;=45,"30-45",IF(tblbuyers[[#This Row],[Age]]&lt;=60,"46-60","60+")))</f>
        <v>46-60</v>
      </c>
      <c r="Q379" t="str">
        <f>IF(tblbuyers[[#This Row],[Income]]&lt;30000,"Low",IF(tblbuyers[[#This Row],[Income]]&lt;=70000,"Medium","High"))</f>
        <v>High</v>
      </c>
      <c r="R379" s="7" t="str">
        <f>IF(OR(LOWER(TRIM(tblbuyers[[#This Row],[Purchased Bike]]))="yes",LOWER(TRIM(tblbuyers[[#This Row],[Purchased Bike]]))="y"),"Yes","No")</f>
        <v>Yes</v>
      </c>
    </row>
    <row r="380" spans="1:18"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c r="O380">
        <f>COUNTBLANK(tblbuyers[Income])</f>
        <v>0</v>
      </c>
      <c r="P380" t="str">
        <f>IF(tblbuyers[[#This Row],[Age]]&lt;30,"&lt;30",IF(tblbuyers[[#This Row],[Age]]&lt;=45,"30-45",IF(tblbuyers[[#This Row],[Age]]&lt;=60,"46-60","60+")))</f>
        <v>46-60</v>
      </c>
      <c r="Q380" t="str">
        <f>IF(tblbuyers[[#This Row],[Income]]&lt;30000,"Low",IF(tblbuyers[[#This Row],[Income]]&lt;=70000,"Medium","High"))</f>
        <v>Medium</v>
      </c>
      <c r="R380" s="7" t="str">
        <f>IF(OR(LOWER(TRIM(tblbuyers[[#This Row],[Purchased Bike]]))="yes",LOWER(TRIM(tblbuyers[[#This Row],[Purchased Bike]]))="y"),"Yes","No")</f>
        <v>No</v>
      </c>
    </row>
    <row r="381" spans="1:18"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c r="O381">
        <f>COUNTBLANK(tblbuyers[Income])</f>
        <v>0</v>
      </c>
      <c r="P381" t="str">
        <f>IF(tblbuyers[[#This Row],[Age]]&lt;30,"&lt;30",IF(tblbuyers[[#This Row],[Age]]&lt;=45,"30-45",IF(tblbuyers[[#This Row],[Age]]&lt;=60,"46-60","60+")))</f>
        <v>30-45</v>
      </c>
      <c r="Q381" t="str">
        <f>IF(tblbuyers[[#This Row],[Income]]&lt;30000,"Low",IF(tblbuyers[[#This Row],[Income]]&lt;=70000,"Medium","High"))</f>
        <v>Medium</v>
      </c>
      <c r="R381" s="7" t="str">
        <f>IF(OR(LOWER(TRIM(tblbuyers[[#This Row],[Purchased Bike]]))="yes",LOWER(TRIM(tblbuyers[[#This Row],[Purchased Bike]]))="y"),"Yes","No")</f>
        <v>No</v>
      </c>
    </row>
    <row r="382" spans="1:18" x14ac:dyDescent="0.25">
      <c r="A382">
        <v>13620</v>
      </c>
      <c r="B382" t="s">
        <v>37</v>
      </c>
      <c r="C382" t="s">
        <v>39</v>
      </c>
      <c r="D382" s="3">
        <v>70000</v>
      </c>
      <c r="E382">
        <v>0</v>
      </c>
      <c r="F382" t="s">
        <v>13</v>
      </c>
      <c r="G382" t="s">
        <v>21</v>
      </c>
      <c r="H382" t="s">
        <v>18</v>
      </c>
      <c r="I382">
        <v>3</v>
      </c>
      <c r="J382" t="s">
        <v>30</v>
      </c>
      <c r="K382" t="s">
        <v>24</v>
      </c>
      <c r="L382">
        <v>30</v>
      </c>
      <c r="M382" t="str">
        <f t="shared" si="5"/>
        <v>Adolescent</v>
      </c>
      <c r="N382" t="s">
        <v>15</v>
      </c>
      <c r="O382">
        <f>COUNTBLANK(tblbuyers[Income])</f>
        <v>0</v>
      </c>
      <c r="P382" t="str">
        <f>IF(tblbuyers[[#This Row],[Age]]&lt;30,"&lt;30",IF(tblbuyers[[#This Row],[Age]]&lt;=45,"30-45",IF(tblbuyers[[#This Row],[Age]]&lt;=60,"46-60","60+")))</f>
        <v>30-45</v>
      </c>
      <c r="Q382" t="str">
        <f>IF(tblbuyers[[#This Row],[Income]]&lt;30000,"Low",IF(tblbuyers[[#This Row],[Income]]&lt;=70000,"Medium","High"))</f>
        <v>Medium</v>
      </c>
      <c r="R382" s="7" t="str">
        <f>IF(OR(LOWER(TRIM(tblbuyers[[#This Row],[Purchased Bike]]))="yes",LOWER(TRIM(tblbuyers[[#This Row],[Purchased Bike]]))="y"),"Yes","No")</f>
        <v>Yes</v>
      </c>
    </row>
    <row r="383" spans="1:18"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c r="O383">
        <f>COUNTBLANK(tblbuyers[Income])</f>
        <v>0</v>
      </c>
      <c r="P383" t="str">
        <f>IF(tblbuyers[[#This Row],[Age]]&lt;30,"&lt;30",IF(tblbuyers[[#This Row],[Age]]&lt;=45,"30-45",IF(tblbuyers[[#This Row],[Age]]&lt;=60,"46-60","60+")))</f>
        <v>60+</v>
      </c>
      <c r="Q383" t="str">
        <f>IF(tblbuyers[[#This Row],[Income]]&lt;30000,"Low",IF(tblbuyers[[#This Row],[Income]]&lt;=70000,"Medium","High"))</f>
        <v>Medium</v>
      </c>
      <c r="R383" s="7" t="str">
        <f>IF(OR(LOWER(TRIM(tblbuyers[[#This Row],[Purchased Bike]]))="yes",LOWER(TRIM(tblbuyers[[#This Row],[Purchased Bike]]))="y"),"Yes","No")</f>
        <v>No</v>
      </c>
    </row>
    <row r="384" spans="1:18" x14ac:dyDescent="0.25">
      <c r="A384">
        <v>13586</v>
      </c>
      <c r="B384" t="s">
        <v>36</v>
      </c>
      <c r="C384" t="s">
        <v>39</v>
      </c>
      <c r="D384" s="3">
        <v>80000</v>
      </c>
      <c r="E384">
        <v>4</v>
      </c>
      <c r="F384" t="s">
        <v>19</v>
      </c>
      <c r="G384" t="s">
        <v>21</v>
      </c>
      <c r="H384" t="s">
        <v>15</v>
      </c>
      <c r="I384">
        <v>2</v>
      </c>
      <c r="J384" t="s">
        <v>30</v>
      </c>
      <c r="K384" t="s">
        <v>17</v>
      </c>
      <c r="L384">
        <v>53</v>
      </c>
      <c r="M384" t="str">
        <f t="shared" si="5"/>
        <v>Middle Age</v>
      </c>
      <c r="N384" t="s">
        <v>18</v>
      </c>
      <c r="O384">
        <f>COUNTBLANK(tblbuyers[Income])</f>
        <v>0</v>
      </c>
      <c r="P384" t="str">
        <f>IF(tblbuyers[[#This Row],[Age]]&lt;30,"&lt;30",IF(tblbuyers[[#This Row],[Age]]&lt;=45,"30-45",IF(tblbuyers[[#This Row],[Age]]&lt;=60,"46-60","60+")))</f>
        <v>46-60</v>
      </c>
      <c r="Q384" t="str">
        <f>IF(tblbuyers[[#This Row],[Income]]&lt;30000,"Low",IF(tblbuyers[[#This Row],[Income]]&lt;=70000,"Medium","High"))</f>
        <v>High</v>
      </c>
      <c r="R384" s="7" t="str">
        <f>IF(OR(LOWER(TRIM(tblbuyers[[#This Row],[Purchased Bike]]))="yes",LOWER(TRIM(tblbuyers[[#This Row],[Purchased Bike]]))="y"),"Yes","No")</f>
        <v>No</v>
      </c>
    </row>
    <row r="385" spans="1:18"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c r="O385">
        <f>COUNTBLANK(tblbuyers[Income])</f>
        <v>0</v>
      </c>
      <c r="P385" t="str">
        <f>IF(tblbuyers[[#This Row],[Age]]&lt;30,"&lt;30",IF(tblbuyers[[#This Row],[Age]]&lt;=45,"30-45",IF(tblbuyers[[#This Row],[Age]]&lt;=60,"46-60","60+")))</f>
        <v>30-45</v>
      </c>
      <c r="Q385" t="str">
        <f>IF(tblbuyers[[#This Row],[Income]]&lt;30000,"Low",IF(tblbuyers[[#This Row],[Income]]&lt;=70000,"Medium","High"))</f>
        <v>Medium</v>
      </c>
      <c r="R385" s="7" t="str">
        <f>IF(OR(LOWER(TRIM(tblbuyers[[#This Row],[Purchased Bike]]))="yes",LOWER(TRIM(tblbuyers[[#This Row],[Purchased Bike]]))="y"),"Yes","No")</f>
        <v>Yes</v>
      </c>
    </row>
    <row r="386" spans="1:18"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c r="O386">
        <f>COUNTBLANK(tblbuyers[Income])</f>
        <v>0</v>
      </c>
      <c r="P386" t="str">
        <f>IF(tblbuyers[[#This Row],[Age]]&lt;30,"&lt;30",IF(tblbuyers[[#This Row],[Age]]&lt;=45,"30-45",IF(tblbuyers[[#This Row],[Age]]&lt;=60,"46-60","60+")))</f>
        <v>&lt;30</v>
      </c>
      <c r="Q386" t="str">
        <f>IF(tblbuyers[[#This Row],[Income]]&lt;30000,"Low",IF(tblbuyers[[#This Row],[Income]]&lt;=70000,"Medium","High"))</f>
        <v>Low</v>
      </c>
      <c r="R386" s="7" t="str">
        <f>IF(OR(LOWER(TRIM(tblbuyers[[#This Row],[Purchased Bike]]))="yes",LOWER(TRIM(tblbuyers[[#This Row],[Purchased Bike]]))="y"),"Yes","No")</f>
        <v>Yes</v>
      </c>
    </row>
    <row r="387" spans="1:18"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c r="O387">
        <f>COUNTBLANK(tblbuyers[Income])</f>
        <v>0</v>
      </c>
      <c r="P387" t="str">
        <f>IF(tblbuyers[[#This Row],[Age]]&lt;30,"&lt;30",IF(tblbuyers[[#This Row],[Age]]&lt;=45,"30-45",IF(tblbuyers[[#This Row],[Age]]&lt;=60,"46-60","60+")))</f>
        <v>30-45</v>
      </c>
      <c r="Q387" t="str">
        <f>IF(tblbuyers[[#This Row],[Income]]&lt;30000,"Low",IF(tblbuyers[[#This Row],[Income]]&lt;=70000,"Medium","High"))</f>
        <v>Medium</v>
      </c>
      <c r="R387" s="7" t="str">
        <f>IF(OR(LOWER(TRIM(tblbuyers[[#This Row],[Purchased Bike]]))="yes",LOWER(TRIM(tblbuyers[[#This Row],[Purchased Bike]]))="y"),"Yes","No")</f>
        <v>No</v>
      </c>
    </row>
    <row r="388" spans="1:18"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c r="O388">
        <f>COUNTBLANK(tblbuyers[Income])</f>
        <v>0</v>
      </c>
      <c r="P388" t="str">
        <f>IF(tblbuyers[[#This Row],[Age]]&lt;30,"&lt;30",IF(tblbuyers[[#This Row],[Age]]&lt;=45,"30-45",IF(tblbuyers[[#This Row],[Age]]&lt;=60,"46-60","60+")))</f>
        <v>30-45</v>
      </c>
      <c r="Q388" t="str">
        <f>IF(tblbuyers[[#This Row],[Income]]&lt;30000,"Low",IF(tblbuyers[[#This Row],[Income]]&lt;=70000,"Medium","High"))</f>
        <v>High</v>
      </c>
      <c r="R388" s="7" t="str">
        <f>IF(OR(LOWER(TRIM(tblbuyers[[#This Row],[Purchased Bike]]))="yes",LOWER(TRIM(tblbuyers[[#This Row],[Purchased Bike]]))="y"),"Yes","No")</f>
        <v>Yes</v>
      </c>
    </row>
    <row r="389" spans="1:18"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c r="O389">
        <f>COUNTBLANK(tblbuyers[Income])</f>
        <v>0</v>
      </c>
      <c r="P389" t="str">
        <f>IF(tblbuyers[[#This Row],[Age]]&lt;30,"&lt;30",IF(tblbuyers[[#This Row],[Age]]&lt;=45,"30-45",IF(tblbuyers[[#This Row],[Age]]&lt;=60,"46-60","60+")))</f>
        <v>30-45</v>
      </c>
      <c r="Q389" t="str">
        <f>IF(tblbuyers[[#This Row],[Income]]&lt;30000,"Low",IF(tblbuyers[[#This Row],[Income]]&lt;=70000,"Medium","High"))</f>
        <v>Low</v>
      </c>
      <c r="R389" s="7" t="str">
        <f>IF(OR(LOWER(TRIM(tblbuyers[[#This Row],[Purchased Bike]]))="yes",LOWER(TRIM(tblbuyers[[#This Row],[Purchased Bike]]))="y"),"Yes","No")</f>
        <v>Yes</v>
      </c>
    </row>
    <row r="390" spans="1:18"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c r="O390">
        <f>COUNTBLANK(tblbuyers[Income])</f>
        <v>0</v>
      </c>
      <c r="P390" t="str">
        <f>IF(tblbuyers[[#This Row],[Age]]&lt;30,"&lt;30",IF(tblbuyers[[#This Row],[Age]]&lt;=45,"30-45",IF(tblbuyers[[#This Row],[Age]]&lt;=60,"46-60","60+")))</f>
        <v>60+</v>
      </c>
      <c r="Q390" t="str">
        <f>IF(tblbuyers[[#This Row],[Income]]&lt;30000,"Low",IF(tblbuyers[[#This Row],[Income]]&lt;=70000,"Medium","High"))</f>
        <v>Medium</v>
      </c>
      <c r="R390" s="7" t="str">
        <f>IF(OR(LOWER(TRIM(tblbuyers[[#This Row],[Purchased Bike]]))="yes",LOWER(TRIM(tblbuyers[[#This Row],[Purchased Bike]]))="y"),"Yes","No")</f>
        <v>No</v>
      </c>
    </row>
    <row r="391" spans="1:18"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c r="O391">
        <f>COUNTBLANK(tblbuyers[Income])</f>
        <v>0</v>
      </c>
      <c r="P391" t="str">
        <f>IF(tblbuyers[[#This Row],[Age]]&lt;30,"&lt;30",IF(tblbuyers[[#This Row],[Age]]&lt;=45,"30-45",IF(tblbuyers[[#This Row],[Age]]&lt;=60,"46-60","60+")))</f>
        <v>30-45</v>
      </c>
      <c r="Q391" t="str">
        <f>IF(tblbuyers[[#This Row],[Income]]&lt;30000,"Low",IF(tblbuyers[[#This Row],[Income]]&lt;=70000,"Medium","High"))</f>
        <v>High</v>
      </c>
      <c r="R391" s="7" t="str">
        <f>IF(OR(LOWER(TRIM(tblbuyers[[#This Row],[Purchased Bike]]))="yes",LOWER(TRIM(tblbuyers[[#This Row],[Purchased Bike]]))="y"),"Yes","No")</f>
        <v>Yes</v>
      </c>
    </row>
    <row r="392" spans="1:18"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c r="O392">
        <f>COUNTBLANK(tblbuyers[Income])</f>
        <v>0</v>
      </c>
      <c r="P392" t="str">
        <f>IF(tblbuyers[[#This Row],[Age]]&lt;30,"&lt;30",IF(tblbuyers[[#This Row],[Age]]&lt;=45,"30-45",IF(tblbuyers[[#This Row],[Age]]&lt;=60,"46-60","60+")))</f>
        <v>30-45</v>
      </c>
      <c r="Q392" t="str">
        <f>IF(tblbuyers[[#This Row],[Income]]&lt;30000,"Low",IF(tblbuyers[[#This Row],[Income]]&lt;=70000,"Medium","High"))</f>
        <v>Medium</v>
      </c>
      <c r="R392" s="7" t="str">
        <f>IF(OR(LOWER(TRIM(tblbuyers[[#This Row],[Purchased Bike]]))="yes",LOWER(TRIM(tblbuyers[[#This Row],[Purchased Bike]]))="y"),"Yes","No")</f>
        <v>No</v>
      </c>
    </row>
    <row r="393" spans="1:18"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c r="O393">
        <f>COUNTBLANK(tblbuyers[Income])</f>
        <v>0</v>
      </c>
      <c r="P393" t="str">
        <f>IF(tblbuyers[[#This Row],[Age]]&lt;30,"&lt;30",IF(tblbuyers[[#This Row],[Age]]&lt;=45,"30-45",IF(tblbuyers[[#This Row],[Age]]&lt;=60,"46-60","60+")))</f>
        <v>30-45</v>
      </c>
      <c r="Q393" t="str">
        <f>IF(tblbuyers[[#This Row],[Income]]&lt;30000,"Low",IF(tblbuyers[[#This Row],[Income]]&lt;=70000,"Medium","High"))</f>
        <v>Medium</v>
      </c>
      <c r="R393" s="7" t="str">
        <f>IF(OR(LOWER(TRIM(tblbuyers[[#This Row],[Purchased Bike]]))="yes",LOWER(TRIM(tblbuyers[[#This Row],[Purchased Bike]]))="y"),"Yes","No")</f>
        <v>Yes</v>
      </c>
    </row>
    <row r="394" spans="1:18"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c r="O394">
        <f>COUNTBLANK(tblbuyers[Income])</f>
        <v>0</v>
      </c>
      <c r="P394" t="str">
        <f>IF(tblbuyers[[#This Row],[Age]]&lt;30,"&lt;30",IF(tblbuyers[[#This Row],[Age]]&lt;=45,"30-45",IF(tblbuyers[[#This Row],[Age]]&lt;=60,"46-60","60+")))</f>
        <v>46-60</v>
      </c>
      <c r="Q394" t="str">
        <f>IF(tblbuyers[[#This Row],[Income]]&lt;30000,"Low",IF(tblbuyers[[#This Row],[Income]]&lt;=70000,"Medium","High"))</f>
        <v>Low</v>
      </c>
      <c r="R394" s="7" t="str">
        <f>IF(OR(LOWER(TRIM(tblbuyers[[#This Row],[Purchased Bike]]))="yes",LOWER(TRIM(tblbuyers[[#This Row],[Purchased Bike]]))="y"),"Yes","No")</f>
        <v>No</v>
      </c>
    </row>
    <row r="395" spans="1:18"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c r="O395">
        <f>COUNTBLANK(tblbuyers[Income])</f>
        <v>0</v>
      </c>
      <c r="P395" t="str">
        <f>IF(tblbuyers[[#This Row],[Age]]&lt;30,"&lt;30",IF(tblbuyers[[#This Row],[Age]]&lt;=45,"30-45",IF(tblbuyers[[#This Row],[Age]]&lt;=60,"46-60","60+")))</f>
        <v>30-45</v>
      </c>
      <c r="Q395" t="str">
        <f>IF(tblbuyers[[#This Row],[Income]]&lt;30000,"Low",IF(tblbuyers[[#This Row],[Income]]&lt;=70000,"Medium","High"))</f>
        <v>Low</v>
      </c>
      <c r="R395" s="7" t="str">
        <f>IF(OR(LOWER(TRIM(tblbuyers[[#This Row],[Purchased Bike]]))="yes",LOWER(TRIM(tblbuyers[[#This Row],[Purchased Bike]]))="y"),"Yes","No")</f>
        <v>No</v>
      </c>
    </row>
    <row r="396" spans="1:18"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c r="O396">
        <f>COUNTBLANK(tblbuyers[Income])</f>
        <v>0</v>
      </c>
      <c r="P396" t="str">
        <f>IF(tblbuyers[[#This Row],[Age]]&lt;30,"&lt;30",IF(tblbuyers[[#This Row],[Age]]&lt;=45,"30-45",IF(tblbuyers[[#This Row],[Age]]&lt;=60,"46-60","60+")))</f>
        <v>30-45</v>
      </c>
      <c r="Q396" t="str">
        <f>IF(tblbuyers[[#This Row],[Income]]&lt;30000,"Low",IF(tblbuyers[[#This Row],[Income]]&lt;=70000,"Medium","High"))</f>
        <v>Medium</v>
      </c>
      <c r="R396" s="7" t="str">
        <f>IF(OR(LOWER(TRIM(tblbuyers[[#This Row],[Purchased Bike]]))="yes",LOWER(TRIM(tblbuyers[[#This Row],[Purchased Bike]]))="y"),"Yes","No")</f>
        <v>Yes</v>
      </c>
    </row>
    <row r="397" spans="1:18"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c r="O397">
        <f>COUNTBLANK(tblbuyers[Income])</f>
        <v>0</v>
      </c>
      <c r="P397" t="str">
        <f>IF(tblbuyers[[#This Row],[Age]]&lt;30,"&lt;30",IF(tblbuyers[[#This Row],[Age]]&lt;=45,"30-45",IF(tblbuyers[[#This Row],[Age]]&lt;=60,"46-60","60+")))</f>
        <v>30-45</v>
      </c>
      <c r="Q397" t="str">
        <f>IF(tblbuyers[[#This Row],[Income]]&lt;30000,"Low",IF(tblbuyers[[#This Row],[Income]]&lt;=70000,"Medium","High"))</f>
        <v>Medium</v>
      </c>
      <c r="R397" s="7" t="str">
        <f>IF(OR(LOWER(TRIM(tblbuyers[[#This Row],[Purchased Bike]]))="yes",LOWER(TRIM(tblbuyers[[#This Row],[Purchased Bike]]))="y"),"Yes","No")</f>
        <v>Yes</v>
      </c>
    </row>
    <row r="398" spans="1:18"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c r="O398">
        <f>COUNTBLANK(tblbuyers[Income])</f>
        <v>0</v>
      </c>
      <c r="P398" t="str">
        <f>IF(tblbuyers[[#This Row],[Age]]&lt;30,"&lt;30",IF(tblbuyers[[#This Row],[Age]]&lt;=45,"30-45",IF(tblbuyers[[#This Row],[Age]]&lt;=60,"46-60","60+")))</f>
        <v>30-45</v>
      </c>
      <c r="Q398" t="str">
        <f>IF(tblbuyers[[#This Row],[Income]]&lt;30000,"Low",IF(tblbuyers[[#This Row],[Income]]&lt;=70000,"Medium","High"))</f>
        <v>Medium</v>
      </c>
      <c r="R398" s="7" t="str">
        <f>IF(OR(LOWER(TRIM(tblbuyers[[#This Row],[Purchased Bike]]))="yes",LOWER(TRIM(tblbuyers[[#This Row],[Purchased Bike]]))="y"),"Yes","No")</f>
        <v>Yes</v>
      </c>
    </row>
    <row r="399" spans="1:18"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c r="O399">
        <f>COUNTBLANK(tblbuyers[Income])</f>
        <v>0</v>
      </c>
      <c r="P399" t="str">
        <f>IF(tblbuyers[[#This Row],[Age]]&lt;30,"&lt;30",IF(tblbuyers[[#This Row],[Age]]&lt;=45,"30-45",IF(tblbuyers[[#This Row],[Age]]&lt;=60,"46-60","60+")))</f>
        <v>46-60</v>
      </c>
      <c r="Q399" t="str">
        <f>IF(tblbuyers[[#This Row],[Income]]&lt;30000,"Low",IF(tblbuyers[[#This Row],[Income]]&lt;=70000,"Medium","High"))</f>
        <v>Low</v>
      </c>
      <c r="R399" s="7" t="str">
        <f>IF(OR(LOWER(TRIM(tblbuyers[[#This Row],[Purchased Bike]]))="yes",LOWER(TRIM(tblbuyers[[#This Row],[Purchased Bike]]))="y"),"Yes","No")</f>
        <v>No</v>
      </c>
    </row>
    <row r="400" spans="1:18"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c r="O400">
        <f>COUNTBLANK(tblbuyers[Income])</f>
        <v>0</v>
      </c>
      <c r="P400" t="str">
        <f>IF(tblbuyers[[#This Row],[Age]]&lt;30,"&lt;30",IF(tblbuyers[[#This Row],[Age]]&lt;=45,"30-45",IF(tblbuyers[[#This Row],[Age]]&lt;=60,"46-60","60+")))</f>
        <v>30-45</v>
      </c>
      <c r="Q400" t="str">
        <f>IF(tblbuyers[[#This Row],[Income]]&lt;30000,"Low",IF(tblbuyers[[#This Row],[Income]]&lt;=70000,"Medium","High"))</f>
        <v>Medium</v>
      </c>
      <c r="R400" s="7" t="str">
        <f>IF(OR(LOWER(TRIM(tblbuyers[[#This Row],[Purchased Bike]]))="yes",LOWER(TRIM(tblbuyers[[#This Row],[Purchased Bike]]))="y"),"Yes","No")</f>
        <v>Yes</v>
      </c>
    </row>
    <row r="401" spans="1:18"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c r="O401">
        <f>COUNTBLANK(tblbuyers[Income])</f>
        <v>0</v>
      </c>
      <c r="P401" t="str">
        <f>IF(tblbuyers[[#This Row],[Age]]&lt;30,"&lt;30",IF(tblbuyers[[#This Row],[Age]]&lt;=45,"30-45",IF(tblbuyers[[#This Row],[Age]]&lt;=60,"46-60","60+")))</f>
        <v>46-60</v>
      </c>
      <c r="Q401" t="str">
        <f>IF(tblbuyers[[#This Row],[Income]]&lt;30000,"Low",IF(tblbuyers[[#This Row],[Income]]&lt;=70000,"Medium","High"))</f>
        <v>Medium</v>
      </c>
      <c r="R401" s="7" t="str">
        <f>IF(OR(LOWER(TRIM(tblbuyers[[#This Row],[Purchased Bike]]))="yes",LOWER(TRIM(tblbuyers[[#This Row],[Purchased Bike]]))="y"),"Yes","No")</f>
        <v>Yes</v>
      </c>
    </row>
    <row r="402" spans="1:18" x14ac:dyDescent="0.25">
      <c r="A402">
        <v>25792</v>
      </c>
      <c r="B402" t="s">
        <v>37</v>
      </c>
      <c r="C402" t="s">
        <v>38</v>
      </c>
      <c r="D402" s="3">
        <v>110000</v>
      </c>
      <c r="E402">
        <v>3</v>
      </c>
      <c r="F402" t="s">
        <v>13</v>
      </c>
      <c r="G402" t="s">
        <v>28</v>
      </c>
      <c r="H402" t="s">
        <v>15</v>
      </c>
      <c r="I402">
        <v>4</v>
      </c>
      <c r="J402" t="s">
        <v>30</v>
      </c>
      <c r="K402" t="s">
        <v>17</v>
      </c>
      <c r="L402">
        <v>53</v>
      </c>
      <c r="M402" t="str">
        <f t="shared" si="6"/>
        <v>Middle Age</v>
      </c>
      <c r="N402" t="s">
        <v>18</v>
      </c>
      <c r="O402">
        <f>COUNTBLANK(tblbuyers[Income])</f>
        <v>0</v>
      </c>
      <c r="P402" t="str">
        <f>IF(tblbuyers[[#This Row],[Age]]&lt;30,"&lt;30",IF(tblbuyers[[#This Row],[Age]]&lt;=45,"30-45",IF(tblbuyers[[#This Row],[Age]]&lt;=60,"46-60","60+")))</f>
        <v>46-60</v>
      </c>
      <c r="Q402" t="str">
        <f>IF(tblbuyers[[#This Row],[Income]]&lt;30000,"Low",IF(tblbuyers[[#This Row],[Income]]&lt;=70000,"Medium","High"))</f>
        <v>High</v>
      </c>
      <c r="R402" s="7" t="str">
        <f>IF(OR(LOWER(TRIM(tblbuyers[[#This Row],[Purchased Bike]]))="yes",LOWER(TRIM(tblbuyers[[#This Row],[Purchased Bike]]))="y"),"Yes","No")</f>
        <v>No</v>
      </c>
    </row>
    <row r="403" spans="1:18"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c r="O403">
        <f>COUNTBLANK(tblbuyers[Income])</f>
        <v>0</v>
      </c>
      <c r="P403" t="str">
        <f>IF(tblbuyers[[#This Row],[Age]]&lt;30,"&lt;30",IF(tblbuyers[[#This Row],[Age]]&lt;=45,"30-45",IF(tblbuyers[[#This Row],[Age]]&lt;=60,"46-60","60+")))</f>
        <v>60+</v>
      </c>
      <c r="Q403" t="str">
        <f>IF(tblbuyers[[#This Row],[Income]]&lt;30000,"Low",IF(tblbuyers[[#This Row],[Income]]&lt;=70000,"Medium","High"))</f>
        <v>Medium</v>
      </c>
      <c r="R403" s="7" t="str">
        <f>IF(OR(LOWER(TRIM(tblbuyers[[#This Row],[Purchased Bike]]))="yes",LOWER(TRIM(tblbuyers[[#This Row],[Purchased Bike]]))="y"),"Yes","No")</f>
        <v>No</v>
      </c>
    </row>
    <row r="404" spans="1:18"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c r="O404">
        <f>COUNTBLANK(tblbuyers[Income])</f>
        <v>0</v>
      </c>
      <c r="P404" t="str">
        <f>IF(tblbuyers[[#This Row],[Age]]&lt;30,"&lt;30",IF(tblbuyers[[#This Row],[Age]]&lt;=45,"30-45",IF(tblbuyers[[#This Row],[Age]]&lt;=60,"46-60","60+")))</f>
        <v>30-45</v>
      </c>
      <c r="Q404" t="str">
        <f>IF(tblbuyers[[#This Row],[Income]]&lt;30000,"Low",IF(tblbuyers[[#This Row],[Income]]&lt;=70000,"Medium","High"))</f>
        <v>Low</v>
      </c>
      <c r="R404" s="7" t="str">
        <f>IF(OR(LOWER(TRIM(tblbuyers[[#This Row],[Purchased Bike]]))="yes",LOWER(TRIM(tblbuyers[[#This Row],[Purchased Bike]]))="y"),"Yes","No")</f>
        <v>No</v>
      </c>
    </row>
    <row r="405" spans="1:18"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c r="O405">
        <f>COUNTBLANK(tblbuyers[Income])</f>
        <v>0</v>
      </c>
      <c r="P405" t="str">
        <f>IF(tblbuyers[[#This Row],[Age]]&lt;30,"&lt;30",IF(tblbuyers[[#This Row],[Age]]&lt;=45,"30-45",IF(tblbuyers[[#This Row],[Age]]&lt;=60,"46-60","60+")))</f>
        <v>30-45</v>
      </c>
      <c r="Q405" t="str">
        <f>IF(tblbuyers[[#This Row],[Income]]&lt;30000,"Low",IF(tblbuyers[[#This Row],[Income]]&lt;=70000,"Medium","High"))</f>
        <v>Low</v>
      </c>
      <c r="R405" s="7" t="str">
        <f>IF(OR(LOWER(TRIM(tblbuyers[[#This Row],[Purchased Bike]]))="yes",LOWER(TRIM(tblbuyers[[#This Row],[Purchased Bike]]))="y"),"Yes","No")</f>
        <v>No</v>
      </c>
    </row>
    <row r="406" spans="1:18"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c r="O406">
        <f>COUNTBLANK(tblbuyers[Income])</f>
        <v>0</v>
      </c>
      <c r="P406" t="str">
        <f>IF(tblbuyers[[#This Row],[Age]]&lt;30,"&lt;30",IF(tblbuyers[[#This Row],[Age]]&lt;=45,"30-45",IF(tblbuyers[[#This Row],[Age]]&lt;=60,"46-60","60+")))</f>
        <v>46-60</v>
      </c>
      <c r="Q406" t="str">
        <f>IF(tblbuyers[[#This Row],[Income]]&lt;30000,"Low",IF(tblbuyers[[#This Row],[Income]]&lt;=70000,"Medium","High"))</f>
        <v>Medium</v>
      </c>
      <c r="R406" s="7" t="str">
        <f>IF(OR(LOWER(TRIM(tblbuyers[[#This Row],[Purchased Bike]]))="yes",LOWER(TRIM(tblbuyers[[#This Row],[Purchased Bike]]))="y"),"Yes","No")</f>
        <v>Yes</v>
      </c>
    </row>
    <row r="407" spans="1:18"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c r="O407">
        <f>COUNTBLANK(tblbuyers[Income])</f>
        <v>0</v>
      </c>
      <c r="P407" t="str">
        <f>IF(tblbuyers[[#This Row],[Age]]&lt;30,"&lt;30",IF(tblbuyers[[#This Row],[Age]]&lt;=45,"30-45",IF(tblbuyers[[#This Row],[Age]]&lt;=60,"46-60","60+")))</f>
        <v>30-45</v>
      </c>
      <c r="Q407" t="str">
        <f>IF(tblbuyers[[#This Row],[Income]]&lt;30000,"Low",IF(tblbuyers[[#This Row],[Income]]&lt;=70000,"Medium","High"))</f>
        <v>Medium</v>
      </c>
      <c r="R407" s="7" t="str">
        <f>IF(OR(LOWER(TRIM(tblbuyers[[#This Row],[Purchased Bike]]))="yes",LOWER(TRIM(tblbuyers[[#This Row],[Purchased Bike]]))="y"),"Yes","No")</f>
        <v>Yes</v>
      </c>
    </row>
    <row r="408" spans="1:18"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c r="O408">
        <f>COUNTBLANK(tblbuyers[Income])</f>
        <v>0</v>
      </c>
      <c r="P408" t="str">
        <f>IF(tblbuyers[[#This Row],[Age]]&lt;30,"&lt;30",IF(tblbuyers[[#This Row],[Age]]&lt;=45,"30-45",IF(tblbuyers[[#This Row],[Age]]&lt;=60,"46-60","60+")))</f>
        <v>30-45</v>
      </c>
      <c r="Q408" t="str">
        <f>IF(tblbuyers[[#This Row],[Income]]&lt;30000,"Low",IF(tblbuyers[[#This Row],[Income]]&lt;=70000,"Medium","High"))</f>
        <v>Medium</v>
      </c>
      <c r="R408" s="7" t="str">
        <f>IF(OR(LOWER(TRIM(tblbuyers[[#This Row],[Purchased Bike]]))="yes",LOWER(TRIM(tblbuyers[[#This Row],[Purchased Bike]]))="y"),"Yes","No")</f>
        <v>No</v>
      </c>
    </row>
    <row r="409" spans="1:18"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c r="O409">
        <f>COUNTBLANK(tblbuyers[Income])</f>
        <v>0</v>
      </c>
      <c r="P409" t="str">
        <f>IF(tblbuyers[[#This Row],[Age]]&lt;30,"&lt;30",IF(tblbuyers[[#This Row],[Age]]&lt;=45,"30-45",IF(tblbuyers[[#This Row],[Age]]&lt;=60,"46-60","60+")))</f>
        <v>30-45</v>
      </c>
      <c r="Q409" t="str">
        <f>IF(tblbuyers[[#This Row],[Income]]&lt;30000,"Low",IF(tblbuyers[[#This Row],[Income]]&lt;=70000,"Medium","High"))</f>
        <v>High</v>
      </c>
      <c r="R409" s="7" t="str">
        <f>IF(OR(LOWER(TRIM(tblbuyers[[#This Row],[Purchased Bike]]))="yes",LOWER(TRIM(tblbuyers[[#This Row],[Purchased Bike]]))="y"),"Yes","No")</f>
        <v>Yes</v>
      </c>
    </row>
    <row r="410" spans="1:18"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c r="O410">
        <f>COUNTBLANK(tblbuyers[Income])</f>
        <v>0</v>
      </c>
      <c r="P410" t="str">
        <f>IF(tblbuyers[[#This Row],[Age]]&lt;30,"&lt;30",IF(tblbuyers[[#This Row],[Age]]&lt;=45,"30-45",IF(tblbuyers[[#This Row],[Age]]&lt;=60,"46-60","60+")))</f>
        <v>30-45</v>
      </c>
      <c r="Q410" t="str">
        <f>IF(tblbuyers[[#This Row],[Income]]&lt;30000,"Low",IF(tblbuyers[[#This Row],[Income]]&lt;=70000,"Medium","High"))</f>
        <v>Medium</v>
      </c>
      <c r="R410" s="7" t="str">
        <f>IF(OR(LOWER(TRIM(tblbuyers[[#This Row],[Purchased Bike]]))="yes",LOWER(TRIM(tblbuyers[[#This Row],[Purchased Bike]]))="y"),"Yes","No")</f>
        <v>No</v>
      </c>
    </row>
    <row r="411" spans="1:18"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c r="O411">
        <f>COUNTBLANK(tblbuyers[Income])</f>
        <v>0</v>
      </c>
      <c r="P411" t="str">
        <f>IF(tblbuyers[[#This Row],[Age]]&lt;30,"&lt;30",IF(tblbuyers[[#This Row],[Age]]&lt;=45,"30-45",IF(tblbuyers[[#This Row],[Age]]&lt;=60,"46-60","60+")))</f>
        <v>46-60</v>
      </c>
      <c r="Q411" t="str">
        <f>IF(tblbuyers[[#This Row],[Income]]&lt;30000,"Low",IF(tblbuyers[[#This Row],[Income]]&lt;=70000,"Medium","High"))</f>
        <v>High</v>
      </c>
      <c r="R411" s="7" t="str">
        <f>IF(OR(LOWER(TRIM(tblbuyers[[#This Row],[Purchased Bike]]))="yes",LOWER(TRIM(tblbuyers[[#This Row],[Purchased Bike]]))="y"),"Yes","No")</f>
        <v>No</v>
      </c>
    </row>
    <row r="412" spans="1:18"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c r="O412">
        <f>COUNTBLANK(tblbuyers[Income])</f>
        <v>0</v>
      </c>
      <c r="P412" t="str">
        <f>IF(tblbuyers[[#This Row],[Age]]&lt;30,"&lt;30",IF(tblbuyers[[#This Row],[Age]]&lt;=45,"30-45",IF(tblbuyers[[#This Row],[Age]]&lt;=60,"46-60","60+")))</f>
        <v>46-60</v>
      </c>
      <c r="Q412" t="str">
        <f>IF(tblbuyers[[#This Row],[Income]]&lt;30000,"Low",IF(tblbuyers[[#This Row],[Income]]&lt;=70000,"Medium","High"))</f>
        <v>Low</v>
      </c>
      <c r="R412" s="7" t="str">
        <f>IF(OR(LOWER(TRIM(tblbuyers[[#This Row],[Purchased Bike]]))="yes",LOWER(TRIM(tblbuyers[[#This Row],[Purchased Bike]]))="y"),"Yes","No")</f>
        <v>Yes</v>
      </c>
    </row>
    <row r="413" spans="1:18"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c r="O413">
        <f>COUNTBLANK(tblbuyers[Income])</f>
        <v>0</v>
      </c>
      <c r="P413" t="str">
        <f>IF(tblbuyers[[#This Row],[Age]]&lt;30,"&lt;30",IF(tblbuyers[[#This Row],[Age]]&lt;=45,"30-45",IF(tblbuyers[[#This Row],[Age]]&lt;=60,"46-60","60+")))</f>
        <v>30-45</v>
      </c>
      <c r="Q413" t="str">
        <f>IF(tblbuyers[[#This Row],[Income]]&lt;30000,"Low",IF(tblbuyers[[#This Row],[Income]]&lt;=70000,"Medium","High"))</f>
        <v>Medium</v>
      </c>
      <c r="R413" s="7" t="str">
        <f>IF(OR(LOWER(TRIM(tblbuyers[[#This Row],[Purchased Bike]]))="yes",LOWER(TRIM(tblbuyers[[#This Row],[Purchased Bike]]))="y"),"Yes","No")</f>
        <v>No</v>
      </c>
    </row>
    <row r="414" spans="1:18"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c r="O414">
        <f>COUNTBLANK(tblbuyers[Income])</f>
        <v>0</v>
      </c>
      <c r="P414" t="str">
        <f>IF(tblbuyers[[#This Row],[Age]]&lt;30,"&lt;30",IF(tblbuyers[[#This Row],[Age]]&lt;=45,"30-45",IF(tblbuyers[[#This Row],[Age]]&lt;=60,"46-60","60+")))</f>
        <v>30-45</v>
      </c>
      <c r="Q414" t="str">
        <f>IF(tblbuyers[[#This Row],[Income]]&lt;30000,"Low",IF(tblbuyers[[#This Row],[Income]]&lt;=70000,"Medium","High"))</f>
        <v>Medium</v>
      </c>
      <c r="R414" s="7" t="str">
        <f>IF(OR(LOWER(TRIM(tblbuyers[[#This Row],[Purchased Bike]]))="yes",LOWER(TRIM(tblbuyers[[#This Row],[Purchased Bike]]))="y"),"Yes","No")</f>
        <v>No</v>
      </c>
    </row>
    <row r="415" spans="1:18"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c r="O415">
        <f>COUNTBLANK(tblbuyers[Income])</f>
        <v>0</v>
      </c>
      <c r="P415" t="str">
        <f>IF(tblbuyers[[#This Row],[Age]]&lt;30,"&lt;30",IF(tblbuyers[[#This Row],[Age]]&lt;=45,"30-45",IF(tblbuyers[[#This Row],[Age]]&lt;=60,"46-60","60+")))</f>
        <v>60+</v>
      </c>
      <c r="Q415" t="str">
        <f>IF(tblbuyers[[#This Row],[Income]]&lt;30000,"Low",IF(tblbuyers[[#This Row],[Income]]&lt;=70000,"Medium","High"))</f>
        <v>Medium</v>
      </c>
      <c r="R415" s="7" t="str">
        <f>IF(OR(LOWER(TRIM(tblbuyers[[#This Row],[Purchased Bike]]))="yes",LOWER(TRIM(tblbuyers[[#This Row],[Purchased Bike]]))="y"),"Yes","No")</f>
        <v>No</v>
      </c>
    </row>
    <row r="416" spans="1:18"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c r="O416">
        <f>COUNTBLANK(tblbuyers[Income])</f>
        <v>0</v>
      </c>
      <c r="P416" t="str">
        <f>IF(tblbuyers[[#This Row],[Age]]&lt;30,"&lt;30",IF(tblbuyers[[#This Row],[Age]]&lt;=45,"30-45",IF(tblbuyers[[#This Row],[Age]]&lt;=60,"46-60","60+")))</f>
        <v>30-45</v>
      </c>
      <c r="Q416" t="str">
        <f>IF(tblbuyers[[#This Row],[Income]]&lt;30000,"Low",IF(tblbuyers[[#This Row],[Income]]&lt;=70000,"Medium","High"))</f>
        <v>Medium</v>
      </c>
      <c r="R416" s="7" t="str">
        <f>IF(OR(LOWER(TRIM(tblbuyers[[#This Row],[Purchased Bike]]))="yes",LOWER(TRIM(tblbuyers[[#This Row],[Purchased Bike]]))="y"),"Yes","No")</f>
        <v>Yes</v>
      </c>
    </row>
    <row r="417" spans="1:18"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c r="O417">
        <f>COUNTBLANK(tblbuyers[Income])</f>
        <v>0</v>
      </c>
      <c r="P417" t="str">
        <f>IF(tblbuyers[[#This Row],[Age]]&lt;30,"&lt;30",IF(tblbuyers[[#This Row],[Age]]&lt;=45,"30-45",IF(tblbuyers[[#This Row],[Age]]&lt;=60,"46-60","60+")))</f>
        <v>30-45</v>
      </c>
      <c r="Q417" t="str">
        <f>IF(tblbuyers[[#This Row],[Income]]&lt;30000,"Low",IF(tblbuyers[[#This Row],[Income]]&lt;=70000,"Medium","High"))</f>
        <v>High</v>
      </c>
      <c r="R417" s="7" t="str">
        <f>IF(OR(LOWER(TRIM(tblbuyers[[#This Row],[Purchased Bike]]))="yes",LOWER(TRIM(tblbuyers[[#This Row],[Purchased Bike]]))="y"),"Yes","No")</f>
        <v>No</v>
      </c>
    </row>
    <row r="418" spans="1:18"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c r="O418">
        <f>COUNTBLANK(tblbuyers[Income])</f>
        <v>0</v>
      </c>
      <c r="P418" t="str">
        <f>IF(tblbuyers[[#This Row],[Age]]&lt;30,"&lt;30",IF(tblbuyers[[#This Row],[Age]]&lt;=45,"30-45",IF(tblbuyers[[#This Row],[Age]]&lt;=60,"46-60","60+")))</f>
        <v>30-45</v>
      </c>
      <c r="Q418" t="str">
        <f>IF(tblbuyers[[#This Row],[Income]]&lt;30000,"Low",IF(tblbuyers[[#This Row],[Income]]&lt;=70000,"Medium","High"))</f>
        <v>Medium</v>
      </c>
      <c r="R418" s="7" t="str">
        <f>IF(OR(LOWER(TRIM(tblbuyers[[#This Row],[Purchased Bike]]))="yes",LOWER(TRIM(tblbuyers[[#This Row],[Purchased Bike]]))="y"),"Yes","No")</f>
        <v>Yes</v>
      </c>
    </row>
    <row r="419" spans="1:18"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c r="O419">
        <f>COUNTBLANK(tblbuyers[Income])</f>
        <v>0</v>
      </c>
      <c r="P419" t="str">
        <f>IF(tblbuyers[[#This Row],[Age]]&lt;30,"&lt;30",IF(tblbuyers[[#This Row],[Age]]&lt;=45,"30-45",IF(tblbuyers[[#This Row],[Age]]&lt;=60,"46-60","60+")))</f>
        <v>60+</v>
      </c>
      <c r="Q419" t="str">
        <f>IF(tblbuyers[[#This Row],[Income]]&lt;30000,"Low",IF(tblbuyers[[#This Row],[Income]]&lt;=70000,"Medium","High"))</f>
        <v>Medium</v>
      </c>
      <c r="R419" s="7" t="str">
        <f>IF(OR(LOWER(TRIM(tblbuyers[[#This Row],[Purchased Bike]]))="yes",LOWER(TRIM(tblbuyers[[#This Row],[Purchased Bike]]))="y"),"Yes","No")</f>
        <v>No</v>
      </c>
    </row>
    <row r="420" spans="1:18"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c r="O420">
        <f>COUNTBLANK(tblbuyers[Income])</f>
        <v>0</v>
      </c>
      <c r="P420" t="str">
        <f>IF(tblbuyers[[#This Row],[Age]]&lt;30,"&lt;30",IF(tblbuyers[[#This Row],[Age]]&lt;=45,"30-45",IF(tblbuyers[[#This Row],[Age]]&lt;=60,"46-60","60+")))</f>
        <v>30-45</v>
      </c>
      <c r="Q420" t="str">
        <f>IF(tblbuyers[[#This Row],[Income]]&lt;30000,"Low",IF(tblbuyers[[#This Row],[Income]]&lt;=70000,"Medium","High"))</f>
        <v>Medium</v>
      </c>
      <c r="R420" s="7" t="str">
        <f>IF(OR(LOWER(TRIM(tblbuyers[[#This Row],[Purchased Bike]]))="yes",LOWER(TRIM(tblbuyers[[#This Row],[Purchased Bike]]))="y"),"Yes","No")</f>
        <v>Yes</v>
      </c>
    </row>
    <row r="421" spans="1:18"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c r="O421">
        <f>COUNTBLANK(tblbuyers[Income])</f>
        <v>0</v>
      </c>
      <c r="P421" t="str">
        <f>IF(tblbuyers[[#This Row],[Age]]&lt;30,"&lt;30",IF(tblbuyers[[#This Row],[Age]]&lt;=45,"30-45",IF(tblbuyers[[#This Row],[Age]]&lt;=60,"46-60","60+")))</f>
        <v>46-60</v>
      </c>
      <c r="Q421" t="str">
        <f>IF(tblbuyers[[#This Row],[Income]]&lt;30000,"Low",IF(tblbuyers[[#This Row],[Income]]&lt;=70000,"Medium","High"))</f>
        <v>Low</v>
      </c>
      <c r="R421" s="7" t="str">
        <f>IF(OR(LOWER(TRIM(tblbuyers[[#This Row],[Purchased Bike]]))="yes",LOWER(TRIM(tblbuyers[[#This Row],[Purchased Bike]]))="y"),"Yes","No")</f>
        <v>Yes</v>
      </c>
    </row>
    <row r="422" spans="1:18"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c r="O422">
        <f>COUNTBLANK(tblbuyers[Income])</f>
        <v>0</v>
      </c>
      <c r="P422" t="str">
        <f>IF(tblbuyers[[#This Row],[Age]]&lt;30,"&lt;30",IF(tblbuyers[[#This Row],[Age]]&lt;=45,"30-45",IF(tblbuyers[[#This Row],[Age]]&lt;=60,"46-60","60+")))</f>
        <v>46-60</v>
      </c>
      <c r="Q422" t="str">
        <f>IF(tblbuyers[[#This Row],[Income]]&lt;30000,"Low",IF(tblbuyers[[#This Row],[Income]]&lt;=70000,"Medium","High"))</f>
        <v>High</v>
      </c>
      <c r="R422" s="7" t="str">
        <f>IF(OR(LOWER(TRIM(tblbuyers[[#This Row],[Purchased Bike]]))="yes",LOWER(TRIM(tblbuyers[[#This Row],[Purchased Bike]]))="y"),"Yes","No")</f>
        <v>No</v>
      </c>
    </row>
    <row r="423" spans="1:18"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c r="O423">
        <f>COUNTBLANK(tblbuyers[Income])</f>
        <v>0</v>
      </c>
      <c r="P423" t="str">
        <f>IF(tblbuyers[[#This Row],[Age]]&lt;30,"&lt;30",IF(tblbuyers[[#This Row],[Age]]&lt;=45,"30-45",IF(tblbuyers[[#This Row],[Age]]&lt;=60,"46-60","60+")))</f>
        <v>46-60</v>
      </c>
      <c r="Q423" t="str">
        <f>IF(tblbuyers[[#This Row],[Income]]&lt;30000,"Low",IF(tblbuyers[[#This Row],[Income]]&lt;=70000,"Medium","High"))</f>
        <v>Low</v>
      </c>
      <c r="R423" s="7" t="str">
        <f>IF(OR(LOWER(TRIM(tblbuyers[[#This Row],[Purchased Bike]]))="yes",LOWER(TRIM(tblbuyers[[#This Row],[Purchased Bike]]))="y"),"Yes","No")</f>
        <v>No</v>
      </c>
    </row>
    <row r="424" spans="1:18" x14ac:dyDescent="0.25">
      <c r="A424">
        <v>24901</v>
      </c>
      <c r="B424" t="s">
        <v>37</v>
      </c>
      <c r="C424" t="s">
        <v>39</v>
      </c>
      <c r="D424" s="3">
        <v>110000</v>
      </c>
      <c r="E424">
        <v>0</v>
      </c>
      <c r="F424" t="s">
        <v>19</v>
      </c>
      <c r="G424" t="s">
        <v>28</v>
      </c>
      <c r="H424" t="s">
        <v>18</v>
      </c>
      <c r="I424">
        <v>3</v>
      </c>
      <c r="J424" t="s">
        <v>30</v>
      </c>
      <c r="K424" t="s">
        <v>24</v>
      </c>
      <c r="L424">
        <v>32</v>
      </c>
      <c r="M424" t="str">
        <f t="shared" si="6"/>
        <v>Middle Age</v>
      </c>
      <c r="N424" t="s">
        <v>15</v>
      </c>
      <c r="O424">
        <f>COUNTBLANK(tblbuyers[Income])</f>
        <v>0</v>
      </c>
      <c r="P424" t="str">
        <f>IF(tblbuyers[[#This Row],[Age]]&lt;30,"&lt;30",IF(tblbuyers[[#This Row],[Age]]&lt;=45,"30-45",IF(tblbuyers[[#This Row],[Age]]&lt;=60,"46-60","60+")))</f>
        <v>30-45</v>
      </c>
      <c r="Q424" t="str">
        <f>IF(tblbuyers[[#This Row],[Income]]&lt;30000,"Low",IF(tblbuyers[[#This Row],[Income]]&lt;=70000,"Medium","High"))</f>
        <v>High</v>
      </c>
      <c r="R424" s="7" t="str">
        <f>IF(OR(LOWER(TRIM(tblbuyers[[#This Row],[Purchased Bike]]))="yes",LOWER(TRIM(tblbuyers[[#This Row],[Purchased Bike]]))="y"),"Yes","No")</f>
        <v>Yes</v>
      </c>
    </row>
    <row r="425" spans="1:18"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c r="O425">
        <f>COUNTBLANK(tblbuyers[Income])</f>
        <v>0</v>
      </c>
      <c r="P425" t="str">
        <f>IF(tblbuyers[[#This Row],[Age]]&lt;30,"&lt;30",IF(tblbuyers[[#This Row],[Age]]&lt;=45,"30-45",IF(tblbuyers[[#This Row],[Age]]&lt;=60,"46-60","60+")))</f>
        <v>30-45</v>
      </c>
      <c r="Q425" t="str">
        <f>IF(tblbuyers[[#This Row],[Income]]&lt;30000,"Low",IF(tblbuyers[[#This Row],[Income]]&lt;=70000,"Medium","High"))</f>
        <v>Medium</v>
      </c>
      <c r="R425" s="7" t="str">
        <f>IF(OR(LOWER(TRIM(tblbuyers[[#This Row],[Purchased Bike]]))="yes",LOWER(TRIM(tblbuyers[[#This Row],[Purchased Bike]]))="y"),"Yes","No")</f>
        <v>Yes</v>
      </c>
    </row>
    <row r="426" spans="1:18"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c r="O426">
        <f>COUNTBLANK(tblbuyers[Income])</f>
        <v>0</v>
      </c>
      <c r="P426" t="str">
        <f>IF(tblbuyers[[#This Row],[Age]]&lt;30,"&lt;30",IF(tblbuyers[[#This Row],[Age]]&lt;=45,"30-45",IF(tblbuyers[[#This Row],[Age]]&lt;=60,"46-60","60+")))</f>
        <v>30-45</v>
      </c>
      <c r="Q426" t="str">
        <f>IF(tblbuyers[[#This Row],[Income]]&lt;30000,"Low",IF(tblbuyers[[#This Row],[Income]]&lt;=70000,"Medium","High"))</f>
        <v>Low</v>
      </c>
      <c r="R426" s="7" t="str">
        <f>IF(OR(LOWER(TRIM(tblbuyers[[#This Row],[Purchased Bike]]))="yes",LOWER(TRIM(tblbuyers[[#This Row],[Purchased Bike]]))="y"),"Yes","No")</f>
        <v>No</v>
      </c>
    </row>
    <row r="427" spans="1:18"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c r="O427">
        <f>COUNTBLANK(tblbuyers[Income])</f>
        <v>0</v>
      </c>
      <c r="P427" t="str">
        <f>IF(tblbuyers[[#This Row],[Age]]&lt;30,"&lt;30",IF(tblbuyers[[#This Row],[Age]]&lt;=45,"30-45",IF(tblbuyers[[#This Row],[Age]]&lt;=60,"46-60","60+")))</f>
        <v>60+</v>
      </c>
      <c r="Q427" t="str">
        <f>IF(tblbuyers[[#This Row],[Income]]&lt;30000,"Low",IF(tblbuyers[[#This Row],[Income]]&lt;=70000,"Medium","High"))</f>
        <v>Medium</v>
      </c>
      <c r="R427" s="7" t="str">
        <f>IF(OR(LOWER(TRIM(tblbuyers[[#This Row],[Purchased Bike]]))="yes",LOWER(TRIM(tblbuyers[[#This Row],[Purchased Bike]]))="y"),"Yes","No")</f>
        <v>No</v>
      </c>
    </row>
    <row r="428" spans="1:18"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c r="O428">
        <f>COUNTBLANK(tblbuyers[Income])</f>
        <v>0</v>
      </c>
      <c r="P428" t="str">
        <f>IF(tblbuyers[[#This Row],[Age]]&lt;30,"&lt;30",IF(tblbuyers[[#This Row],[Age]]&lt;=45,"30-45",IF(tblbuyers[[#This Row],[Age]]&lt;=60,"46-60","60+")))</f>
        <v>&lt;30</v>
      </c>
      <c r="Q428" t="str">
        <f>IF(tblbuyers[[#This Row],[Income]]&lt;30000,"Low",IF(tblbuyers[[#This Row],[Income]]&lt;=70000,"Medium","High"))</f>
        <v>Medium</v>
      </c>
      <c r="R428" s="7" t="str">
        <f>IF(OR(LOWER(TRIM(tblbuyers[[#This Row],[Purchased Bike]]))="yes",LOWER(TRIM(tblbuyers[[#This Row],[Purchased Bike]]))="y"),"Yes","No")</f>
        <v>No</v>
      </c>
    </row>
    <row r="429" spans="1:18"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c r="O429">
        <f>COUNTBLANK(tblbuyers[Income])</f>
        <v>0</v>
      </c>
      <c r="P429" t="str">
        <f>IF(tblbuyers[[#This Row],[Age]]&lt;30,"&lt;30",IF(tblbuyers[[#This Row],[Age]]&lt;=45,"30-45",IF(tblbuyers[[#This Row],[Age]]&lt;=60,"46-60","60+")))</f>
        <v>30-45</v>
      </c>
      <c r="Q429" t="str">
        <f>IF(tblbuyers[[#This Row],[Income]]&lt;30000,"Low",IF(tblbuyers[[#This Row],[Income]]&lt;=70000,"Medium","High"))</f>
        <v>High</v>
      </c>
      <c r="R429" s="7" t="str">
        <f>IF(OR(LOWER(TRIM(tblbuyers[[#This Row],[Purchased Bike]]))="yes",LOWER(TRIM(tblbuyers[[#This Row],[Purchased Bike]]))="y"),"Yes","No")</f>
        <v>Yes</v>
      </c>
    </row>
    <row r="430" spans="1:18"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c r="O430">
        <f>COUNTBLANK(tblbuyers[Income])</f>
        <v>0</v>
      </c>
      <c r="P430" t="str">
        <f>IF(tblbuyers[[#This Row],[Age]]&lt;30,"&lt;30",IF(tblbuyers[[#This Row],[Age]]&lt;=45,"30-45",IF(tblbuyers[[#This Row],[Age]]&lt;=60,"46-60","60+")))</f>
        <v>46-60</v>
      </c>
      <c r="Q430" t="str">
        <f>IF(tblbuyers[[#This Row],[Income]]&lt;30000,"Low",IF(tblbuyers[[#This Row],[Income]]&lt;=70000,"Medium","High"))</f>
        <v>High</v>
      </c>
      <c r="R430" s="7" t="str">
        <f>IF(OR(LOWER(TRIM(tblbuyers[[#This Row],[Purchased Bike]]))="yes",LOWER(TRIM(tblbuyers[[#This Row],[Purchased Bike]]))="y"),"Yes","No")</f>
        <v>No</v>
      </c>
    </row>
    <row r="431" spans="1:18"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c r="O431">
        <f>COUNTBLANK(tblbuyers[Income])</f>
        <v>0</v>
      </c>
      <c r="P431" t="str">
        <f>IF(tblbuyers[[#This Row],[Age]]&lt;30,"&lt;30",IF(tblbuyers[[#This Row],[Age]]&lt;=45,"30-45",IF(tblbuyers[[#This Row],[Age]]&lt;=60,"46-60","60+")))</f>
        <v>30-45</v>
      </c>
      <c r="Q431" t="str">
        <f>IF(tblbuyers[[#This Row],[Income]]&lt;30000,"Low",IF(tblbuyers[[#This Row],[Income]]&lt;=70000,"Medium","High"))</f>
        <v>Medium</v>
      </c>
      <c r="R431" s="7" t="str">
        <f>IF(OR(LOWER(TRIM(tblbuyers[[#This Row],[Purchased Bike]]))="yes",LOWER(TRIM(tblbuyers[[#This Row],[Purchased Bike]]))="y"),"Yes","No")</f>
        <v>No</v>
      </c>
    </row>
    <row r="432" spans="1:18"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c r="O432">
        <f>COUNTBLANK(tblbuyers[Income])</f>
        <v>0</v>
      </c>
      <c r="P432" t="str">
        <f>IF(tblbuyers[[#This Row],[Age]]&lt;30,"&lt;30",IF(tblbuyers[[#This Row],[Age]]&lt;=45,"30-45",IF(tblbuyers[[#This Row],[Age]]&lt;=60,"46-60","60+")))</f>
        <v>46-60</v>
      </c>
      <c r="Q432" t="str">
        <f>IF(tblbuyers[[#This Row],[Income]]&lt;30000,"Low",IF(tblbuyers[[#This Row],[Income]]&lt;=70000,"Medium","High"))</f>
        <v>Medium</v>
      </c>
      <c r="R432" s="7" t="str">
        <f>IF(OR(LOWER(TRIM(tblbuyers[[#This Row],[Purchased Bike]]))="yes",LOWER(TRIM(tblbuyers[[#This Row],[Purchased Bike]]))="y"),"Yes","No")</f>
        <v>No</v>
      </c>
    </row>
    <row r="433" spans="1:18"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c r="O433">
        <f>COUNTBLANK(tblbuyers[Income])</f>
        <v>0</v>
      </c>
      <c r="P433" t="str">
        <f>IF(tblbuyers[[#This Row],[Age]]&lt;30,"&lt;30",IF(tblbuyers[[#This Row],[Age]]&lt;=45,"30-45",IF(tblbuyers[[#This Row],[Age]]&lt;=60,"46-60","60+")))</f>
        <v>&lt;30</v>
      </c>
      <c r="Q433" t="str">
        <f>IF(tblbuyers[[#This Row],[Income]]&lt;30000,"Low",IF(tblbuyers[[#This Row],[Income]]&lt;=70000,"Medium","High"))</f>
        <v>Low</v>
      </c>
      <c r="R433" s="7" t="str">
        <f>IF(OR(LOWER(TRIM(tblbuyers[[#This Row],[Purchased Bike]]))="yes",LOWER(TRIM(tblbuyers[[#This Row],[Purchased Bike]]))="y"),"Yes","No")</f>
        <v>Yes</v>
      </c>
    </row>
    <row r="434" spans="1:18" x14ac:dyDescent="0.25">
      <c r="A434">
        <v>21891</v>
      </c>
      <c r="B434" t="s">
        <v>36</v>
      </c>
      <c r="C434" t="s">
        <v>38</v>
      </c>
      <c r="D434" s="3">
        <v>110000</v>
      </c>
      <c r="E434">
        <v>0</v>
      </c>
      <c r="F434" t="s">
        <v>27</v>
      </c>
      <c r="G434" t="s">
        <v>28</v>
      </c>
      <c r="H434" t="s">
        <v>15</v>
      </c>
      <c r="I434">
        <v>3</v>
      </c>
      <c r="J434" t="s">
        <v>30</v>
      </c>
      <c r="K434" t="s">
        <v>24</v>
      </c>
      <c r="L434">
        <v>34</v>
      </c>
      <c r="M434" t="str">
        <f t="shared" si="6"/>
        <v>Middle Age</v>
      </c>
      <c r="N434" t="s">
        <v>15</v>
      </c>
      <c r="O434">
        <f>COUNTBLANK(tblbuyers[Income])</f>
        <v>0</v>
      </c>
      <c r="P434" t="str">
        <f>IF(tblbuyers[[#This Row],[Age]]&lt;30,"&lt;30",IF(tblbuyers[[#This Row],[Age]]&lt;=45,"30-45",IF(tblbuyers[[#This Row],[Age]]&lt;=60,"46-60","60+")))</f>
        <v>30-45</v>
      </c>
      <c r="Q434" t="str">
        <f>IF(tblbuyers[[#This Row],[Income]]&lt;30000,"Low",IF(tblbuyers[[#This Row],[Income]]&lt;=70000,"Medium","High"))</f>
        <v>High</v>
      </c>
      <c r="R434" s="7" t="str">
        <f>IF(OR(LOWER(TRIM(tblbuyers[[#This Row],[Purchased Bike]]))="yes",LOWER(TRIM(tblbuyers[[#This Row],[Purchased Bike]]))="y"),"Yes","No")</f>
        <v>Yes</v>
      </c>
    </row>
    <row r="435" spans="1:18"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c r="O435">
        <f>COUNTBLANK(tblbuyers[Income])</f>
        <v>0</v>
      </c>
      <c r="P435" t="str">
        <f>IF(tblbuyers[[#This Row],[Age]]&lt;30,"&lt;30",IF(tblbuyers[[#This Row],[Age]]&lt;=45,"30-45",IF(tblbuyers[[#This Row],[Age]]&lt;=60,"46-60","60+")))</f>
        <v>&lt;30</v>
      </c>
      <c r="Q435" t="str">
        <f>IF(tblbuyers[[#This Row],[Income]]&lt;30000,"Low",IF(tblbuyers[[#This Row],[Income]]&lt;=70000,"Medium","High"))</f>
        <v>Medium</v>
      </c>
      <c r="R435" s="7" t="str">
        <f>IF(OR(LOWER(TRIM(tblbuyers[[#This Row],[Purchased Bike]]))="yes",LOWER(TRIM(tblbuyers[[#This Row],[Purchased Bike]]))="y"),"Yes","No")</f>
        <v>No</v>
      </c>
    </row>
    <row r="436" spans="1:18"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c r="O436">
        <f>COUNTBLANK(tblbuyers[Income])</f>
        <v>0</v>
      </c>
      <c r="P436" t="str">
        <f>IF(tblbuyers[[#This Row],[Age]]&lt;30,"&lt;30",IF(tblbuyers[[#This Row],[Age]]&lt;=45,"30-45",IF(tblbuyers[[#This Row],[Age]]&lt;=60,"46-60","60+")))</f>
        <v>46-60</v>
      </c>
      <c r="Q436" t="str">
        <f>IF(tblbuyers[[#This Row],[Income]]&lt;30000,"Low",IF(tblbuyers[[#This Row],[Income]]&lt;=70000,"Medium","High"))</f>
        <v>Medium</v>
      </c>
      <c r="R436" s="7" t="str">
        <f>IF(OR(LOWER(TRIM(tblbuyers[[#This Row],[Purchased Bike]]))="yes",LOWER(TRIM(tblbuyers[[#This Row],[Purchased Bike]]))="y"),"Yes","No")</f>
        <v>Yes</v>
      </c>
    </row>
    <row r="437" spans="1:18"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c r="O437">
        <f>COUNTBLANK(tblbuyers[Income])</f>
        <v>0</v>
      </c>
      <c r="P437" t="str">
        <f>IF(tblbuyers[[#This Row],[Age]]&lt;30,"&lt;30",IF(tblbuyers[[#This Row],[Age]]&lt;=45,"30-45",IF(tblbuyers[[#This Row],[Age]]&lt;=60,"46-60","60+")))</f>
        <v>60+</v>
      </c>
      <c r="Q437" t="str">
        <f>IF(tblbuyers[[#This Row],[Income]]&lt;30000,"Low",IF(tblbuyers[[#This Row],[Income]]&lt;=70000,"Medium","High"))</f>
        <v>Low</v>
      </c>
      <c r="R437" s="7" t="str">
        <f>IF(OR(LOWER(TRIM(tblbuyers[[#This Row],[Purchased Bike]]))="yes",LOWER(TRIM(tblbuyers[[#This Row],[Purchased Bike]]))="y"),"Yes","No")</f>
        <v>No</v>
      </c>
    </row>
    <row r="438" spans="1:18"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c r="O438">
        <f>COUNTBLANK(tblbuyers[Income])</f>
        <v>0</v>
      </c>
      <c r="P438" t="str">
        <f>IF(tblbuyers[[#This Row],[Age]]&lt;30,"&lt;30",IF(tblbuyers[[#This Row],[Age]]&lt;=45,"30-45",IF(tblbuyers[[#This Row],[Age]]&lt;=60,"46-60","60+")))</f>
        <v>46-60</v>
      </c>
      <c r="Q438" t="str">
        <f>IF(tblbuyers[[#This Row],[Income]]&lt;30000,"Low",IF(tblbuyers[[#This Row],[Income]]&lt;=70000,"Medium","High"))</f>
        <v>High</v>
      </c>
      <c r="R438" s="7" t="str">
        <f>IF(OR(LOWER(TRIM(tblbuyers[[#This Row],[Purchased Bike]]))="yes",LOWER(TRIM(tblbuyers[[#This Row],[Purchased Bike]]))="y"),"Yes","No")</f>
        <v>Yes</v>
      </c>
    </row>
    <row r="439" spans="1:18"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c r="O439">
        <f>COUNTBLANK(tblbuyers[Income])</f>
        <v>0</v>
      </c>
      <c r="P439" t="str">
        <f>IF(tblbuyers[[#This Row],[Age]]&lt;30,"&lt;30",IF(tblbuyers[[#This Row],[Age]]&lt;=45,"30-45",IF(tblbuyers[[#This Row],[Age]]&lt;=60,"46-60","60+")))</f>
        <v>&lt;30</v>
      </c>
      <c r="Q439" t="str">
        <f>IF(tblbuyers[[#This Row],[Income]]&lt;30000,"Low",IF(tblbuyers[[#This Row],[Income]]&lt;=70000,"Medium","High"))</f>
        <v>Medium</v>
      </c>
      <c r="R439" s="7" t="str">
        <f>IF(OR(LOWER(TRIM(tblbuyers[[#This Row],[Purchased Bike]]))="yes",LOWER(TRIM(tblbuyers[[#This Row],[Purchased Bike]]))="y"),"Yes","No")</f>
        <v>Yes</v>
      </c>
    </row>
    <row r="440" spans="1:18"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c r="O440">
        <f>COUNTBLANK(tblbuyers[Income])</f>
        <v>0</v>
      </c>
      <c r="P440" t="str">
        <f>IF(tblbuyers[[#This Row],[Age]]&lt;30,"&lt;30",IF(tblbuyers[[#This Row],[Age]]&lt;=45,"30-45",IF(tblbuyers[[#This Row],[Age]]&lt;=60,"46-60","60+")))</f>
        <v>30-45</v>
      </c>
      <c r="Q440" t="str">
        <f>IF(tblbuyers[[#This Row],[Income]]&lt;30000,"Low",IF(tblbuyers[[#This Row],[Income]]&lt;=70000,"Medium","High"))</f>
        <v>High</v>
      </c>
      <c r="R440" s="7" t="str">
        <f>IF(OR(LOWER(TRIM(tblbuyers[[#This Row],[Purchased Bike]]))="yes",LOWER(TRIM(tblbuyers[[#This Row],[Purchased Bike]]))="y"),"Yes","No")</f>
        <v>Yes</v>
      </c>
    </row>
    <row r="441" spans="1:18"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c r="O441">
        <f>COUNTBLANK(tblbuyers[Income])</f>
        <v>0</v>
      </c>
      <c r="P441" t="str">
        <f>IF(tblbuyers[[#This Row],[Age]]&lt;30,"&lt;30",IF(tblbuyers[[#This Row],[Age]]&lt;=45,"30-45",IF(tblbuyers[[#This Row],[Age]]&lt;=60,"46-60","60+")))</f>
        <v>30-45</v>
      </c>
      <c r="Q441" t="str">
        <f>IF(tblbuyers[[#This Row],[Income]]&lt;30000,"Low",IF(tblbuyers[[#This Row],[Income]]&lt;=70000,"Medium","High"))</f>
        <v>Medium</v>
      </c>
      <c r="R441" s="7" t="str">
        <f>IF(OR(LOWER(TRIM(tblbuyers[[#This Row],[Purchased Bike]]))="yes",LOWER(TRIM(tblbuyers[[#This Row],[Purchased Bike]]))="y"),"Yes","No")</f>
        <v>No</v>
      </c>
    </row>
    <row r="442" spans="1:18" x14ac:dyDescent="0.25">
      <c r="A442">
        <v>21561</v>
      </c>
      <c r="B442" t="s">
        <v>37</v>
      </c>
      <c r="C442" t="s">
        <v>39</v>
      </c>
      <c r="D442" s="3">
        <v>90000</v>
      </c>
      <c r="E442">
        <v>0</v>
      </c>
      <c r="F442" t="s">
        <v>13</v>
      </c>
      <c r="G442" t="s">
        <v>21</v>
      </c>
      <c r="H442" t="s">
        <v>18</v>
      </c>
      <c r="I442">
        <v>3</v>
      </c>
      <c r="J442" t="s">
        <v>30</v>
      </c>
      <c r="K442" t="s">
        <v>24</v>
      </c>
      <c r="L442">
        <v>34</v>
      </c>
      <c r="M442" t="str">
        <f t="shared" si="6"/>
        <v>Middle Age</v>
      </c>
      <c r="N442" t="s">
        <v>15</v>
      </c>
      <c r="O442">
        <f>COUNTBLANK(tblbuyers[Income])</f>
        <v>0</v>
      </c>
      <c r="P442" t="str">
        <f>IF(tblbuyers[[#This Row],[Age]]&lt;30,"&lt;30",IF(tblbuyers[[#This Row],[Age]]&lt;=45,"30-45",IF(tblbuyers[[#This Row],[Age]]&lt;=60,"46-60","60+")))</f>
        <v>30-45</v>
      </c>
      <c r="Q442" t="str">
        <f>IF(tblbuyers[[#This Row],[Income]]&lt;30000,"Low",IF(tblbuyers[[#This Row],[Income]]&lt;=70000,"Medium","High"))</f>
        <v>High</v>
      </c>
      <c r="R442" s="7" t="str">
        <f>IF(OR(LOWER(TRIM(tblbuyers[[#This Row],[Purchased Bike]]))="yes",LOWER(TRIM(tblbuyers[[#This Row],[Purchased Bike]]))="y"),"Yes","No")</f>
        <v>Yes</v>
      </c>
    </row>
    <row r="443" spans="1:18"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c r="O443">
        <f>COUNTBLANK(tblbuyers[Income])</f>
        <v>0</v>
      </c>
      <c r="P443" t="str">
        <f>IF(tblbuyers[[#This Row],[Age]]&lt;30,"&lt;30",IF(tblbuyers[[#This Row],[Age]]&lt;=45,"30-45",IF(tblbuyers[[#This Row],[Age]]&lt;=60,"46-60","60+")))</f>
        <v>46-60</v>
      </c>
      <c r="Q443" t="str">
        <f>IF(tblbuyers[[#This Row],[Income]]&lt;30000,"Low",IF(tblbuyers[[#This Row],[Income]]&lt;=70000,"Medium","High"))</f>
        <v>Medium</v>
      </c>
      <c r="R443" s="7" t="str">
        <f>IF(OR(LOWER(TRIM(tblbuyers[[#This Row],[Purchased Bike]]))="yes",LOWER(TRIM(tblbuyers[[#This Row],[Purchased Bike]]))="y"),"Yes","No")</f>
        <v>Yes</v>
      </c>
    </row>
    <row r="444" spans="1:18"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c r="O444">
        <f>COUNTBLANK(tblbuyers[Income])</f>
        <v>0</v>
      </c>
      <c r="P444" t="str">
        <f>IF(tblbuyers[[#This Row],[Age]]&lt;30,"&lt;30",IF(tblbuyers[[#This Row],[Age]]&lt;=45,"30-45",IF(tblbuyers[[#This Row],[Age]]&lt;=60,"46-60","60+")))</f>
        <v>30-45</v>
      </c>
      <c r="Q444" t="str">
        <f>IF(tblbuyers[[#This Row],[Income]]&lt;30000,"Low",IF(tblbuyers[[#This Row],[Income]]&lt;=70000,"Medium","High"))</f>
        <v>High</v>
      </c>
      <c r="R444" s="7" t="str">
        <f>IF(OR(LOWER(TRIM(tblbuyers[[#This Row],[Purchased Bike]]))="yes",LOWER(TRIM(tblbuyers[[#This Row],[Purchased Bike]]))="y"),"Yes","No")</f>
        <v>Yes</v>
      </c>
    </row>
    <row r="445" spans="1:18"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c r="O445">
        <f>COUNTBLANK(tblbuyers[Income])</f>
        <v>0</v>
      </c>
      <c r="P445" t="str">
        <f>IF(tblbuyers[[#This Row],[Age]]&lt;30,"&lt;30",IF(tblbuyers[[#This Row],[Age]]&lt;=45,"30-45",IF(tblbuyers[[#This Row],[Age]]&lt;=60,"46-60","60+")))</f>
        <v>30-45</v>
      </c>
      <c r="Q445" t="str">
        <f>IF(tblbuyers[[#This Row],[Income]]&lt;30000,"Low",IF(tblbuyers[[#This Row],[Income]]&lt;=70000,"Medium","High"))</f>
        <v>Medium</v>
      </c>
      <c r="R445" s="7" t="str">
        <f>IF(OR(LOWER(TRIM(tblbuyers[[#This Row],[Purchased Bike]]))="yes",LOWER(TRIM(tblbuyers[[#This Row],[Purchased Bike]]))="y"),"Yes","No")</f>
        <v>Yes</v>
      </c>
    </row>
    <row r="446" spans="1:18"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c r="O446">
        <f>COUNTBLANK(tblbuyers[Income])</f>
        <v>0</v>
      </c>
      <c r="P446" t="str">
        <f>IF(tblbuyers[[#This Row],[Age]]&lt;30,"&lt;30",IF(tblbuyers[[#This Row],[Age]]&lt;=45,"30-45",IF(tblbuyers[[#This Row],[Age]]&lt;=60,"46-60","60+")))</f>
        <v>30-45</v>
      </c>
      <c r="Q446" t="str">
        <f>IF(tblbuyers[[#This Row],[Income]]&lt;30000,"Low",IF(tblbuyers[[#This Row],[Income]]&lt;=70000,"Medium","High"))</f>
        <v>Medium</v>
      </c>
      <c r="R446" s="7" t="str">
        <f>IF(OR(LOWER(TRIM(tblbuyers[[#This Row],[Purchased Bike]]))="yes",LOWER(TRIM(tblbuyers[[#This Row],[Purchased Bike]]))="y"),"Yes","No")</f>
        <v>No</v>
      </c>
    </row>
    <row r="447" spans="1:18"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c r="O447">
        <f>COUNTBLANK(tblbuyers[Income])</f>
        <v>0</v>
      </c>
      <c r="P447" t="str">
        <f>IF(tblbuyers[[#This Row],[Age]]&lt;30,"&lt;30",IF(tblbuyers[[#This Row],[Age]]&lt;=45,"30-45",IF(tblbuyers[[#This Row],[Age]]&lt;=60,"46-60","60+")))</f>
        <v>30-45</v>
      </c>
      <c r="Q447" t="str">
        <f>IF(tblbuyers[[#This Row],[Income]]&lt;30000,"Low",IF(tblbuyers[[#This Row],[Income]]&lt;=70000,"Medium","High"))</f>
        <v>Medium</v>
      </c>
      <c r="R447" s="7" t="str">
        <f>IF(OR(LOWER(TRIM(tblbuyers[[#This Row],[Purchased Bike]]))="yes",LOWER(TRIM(tblbuyers[[#This Row],[Purchased Bike]]))="y"),"Yes","No")</f>
        <v>Yes</v>
      </c>
    </row>
    <row r="448" spans="1:18" x14ac:dyDescent="0.25">
      <c r="A448">
        <v>14278</v>
      </c>
      <c r="B448" t="s">
        <v>36</v>
      </c>
      <c r="C448" t="s">
        <v>38</v>
      </c>
      <c r="D448" s="3">
        <v>130000</v>
      </c>
      <c r="E448">
        <v>0</v>
      </c>
      <c r="F448" t="s">
        <v>31</v>
      </c>
      <c r="G448" t="s">
        <v>28</v>
      </c>
      <c r="H448" t="s">
        <v>15</v>
      </c>
      <c r="I448">
        <v>1</v>
      </c>
      <c r="J448" t="s">
        <v>30</v>
      </c>
      <c r="K448" t="s">
        <v>24</v>
      </c>
      <c r="L448">
        <v>48</v>
      </c>
      <c r="M448" t="str">
        <f t="shared" si="6"/>
        <v>Middle Age</v>
      </c>
      <c r="N448" t="s">
        <v>18</v>
      </c>
      <c r="O448">
        <f>COUNTBLANK(tblbuyers[Income])</f>
        <v>0</v>
      </c>
      <c r="P448" t="str">
        <f>IF(tblbuyers[[#This Row],[Age]]&lt;30,"&lt;30",IF(tblbuyers[[#This Row],[Age]]&lt;=45,"30-45",IF(tblbuyers[[#This Row],[Age]]&lt;=60,"46-60","60+")))</f>
        <v>46-60</v>
      </c>
      <c r="Q448" t="str">
        <f>IF(tblbuyers[[#This Row],[Income]]&lt;30000,"Low",IF(tblbuyers[[#This Row],[Income]]&lt;=70000,"Medium","High"))</f>
        <v>High</v>
      </c>
      <c r="R448" s="7" t="str">
        <f>IF(OR(LOWER(TRIM(tblbuyers[[#This Row],[Purchased Bike]]))="yes",LOWER(TRIM(tblbuyers[[#This Row],[Purchased Bike]]))="y"),"Yes","No")</f>
        <v>No</v>
      </c>
    </row>
    <row r="449" spans="1:18"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c r="O449">
        <f>COUNTBLANK(tblbuyers[Income])</f>
        <v>0</v>
      </c>
      <c r="P449" t="str">
        <f>IF(tblbuyers[[#This Row],[Age]]&lt;30,"&lt;30",IF(tblbuyers[[#This Row],[Age]]&lt;=45,"30-45",IF(tblbuyers[[#This Row],[Age]]&lt;=60,"46-60","60+")))</f>
        <v>30-45</v>
      </c>
      <c r="Q449" t="str">
        <f>IF(tblbuyers[[#This Row],[Income]]&lt;30000,"Low",IF(tblbuyers[[#This Row],[Income]]&lt;=70000,"Medium","High"))</f>
        <v>Medium</v>
      </c>
      <c r="R449" s="7" t="str">
        <f>IF(OR(LOWER(TRIM(tblbuyers[[#This Row],[Purchased Bike]]))="yes",LOWER(TRIM(tblbuyers[[#This Row],[Purchased Bike]]))="y"),"Yes","No")</f>
        <v>Yes</v>
      </c>
    </row>
    <row r="450" spans="1:18"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c r="O450">
        <f>COUNTBLANK(tblbuyers[Income])</f>
        <v>0</v>
      </c>
      <c r="P450" t="str">
        <f>IF(tblbuyers[[#This Row],[Age]]&lt;30,"&lt;30",IF(tblbuyers[[#This Row],[Age]]&lt;=45,"30-45",IF(tblbuyers[[#This Row],[Age]]&lt;=60,"46-60","60+")))</f>
        <v>46-60</v>
      </c>
      <c r="Q450" t="str">
        <f>IF(tblbuyers[[#This Row],[Income]]&lt;30000,"Low",IF(tblbuyers[[#This Row],[Income]]&lt;=70000,"Medium","High"))</f>
        <v>Medium</v>
      </c>
      <c r="R450" s="7" t="str">
        <f>IF(OR(LOWER(TRIM(tblbuyers[[#This Row],[Purchased Bike]]))="yes",LOWER(TRIM(tblbuyers[[#This Row],[Purchased Bike]]))="y"),"Yes","No")</f>
        <v>No</v>
      </c>
    </row>
    <row r="451" spans="1:18"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c r="O451">
        <f>COUNTBLANK(tblbuyers[Income])</f>
        <v>0</v>
      </c>
      <c r="P451" t="str">
        <f>IF(tblbuyers[[#This Row],[Age]]&lt;30,"&lt;30",IF(tblbuyers[[#This Row],[Age]]&lt;=45,"30-45",IF(tblbuyers[[#This Row],[Age]]&lt;=60,"46-60","60+")))</f>
        <v>30-45</v>
      </c>
      <c r="Q451" t="str">
        <f>IF(tblbuyers[[#This Row],[Income]]&lt;30000,"Low",IF(tblbuyers[[#This Row],[Income]]&lt;=70000,"Medium","High"))</f>
        <v>Medium</v>
      </c>
      <c r="R451" s="7" t="str">
        <f>IF(OR(LOWER(TRIM(tblbuyers[[#This Row],[Purchased Bike]]))="yes",LOWER(TRIM(tblbuyers[[#This Row],[Purchased Bike]]))="y"),"Yes","No")</f>
        <v>No</v>
      </c>
    </row>
    <row r="452" spans="1:18"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c r="O452">
        <f>COUNTBLANK(tblbuyers[Income])</f>
        <v>0</v>
      </c>
      <c r="P452" t="str">
        <f>IF(tblbuyers[[#This Row],[Age]]&lt;30,"&lt;30",IF(tblbuyers[[#This Row],[Age]]&lt;=45,"30-45",IF(tblbuyers[[#This Row],[Age]]&lt;=60,"46-60","60+")))</f>
        <v>30-45</v>
      </c>
      <c r="Q452" t="str">
        <f>IF(tblbuyers[[#This Row],[Income]]&lt;30000,"Low",IF(tblbuyers[[#This Row],[Income]]&lt;=70000,"Medium","High"))</f>
        <v>Low</v>
      </c>
      <c r="R452" s="7" t="str">
        <f>IF(OR(LOWER(TRIM(tblbuyers[[#This Row],[Purchased Bike]]))="yes",LOWER(TRIM(tblbuyers[[#This Row],[Purchased Bike]]))="y"),"Yes","No")</f>
        <v>Yes</v>
      </c>
    </row>
    <row r="453" spans="1:18"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c r="O453">
        <f>COUNTBLANK(tblbuyers[Income])</f>
        <v>0</v>
      </c>
      <c r="P453" t="str">
        <f>IF(tblbuyers[[#This Row],[Age]]&lt;30,"&lt;30",IF(tblbuyers[[#This Row],[Age]]&lt;=45,"30-45",IF(tblbuyers[[#This Row],[Age]]&lt;=60,"46-60","60+")))</f>
        <v>30-45</v>
      </c>
      <c r="Q453" t="str">
        <f>IF(tblbuyers[[#This Row],[Income]]&lt;30000,"Low",IF(tblbuyers[[#This Row],[Income]]&lt;=70000,"Medium","High"))</f>
        <v>Medium</v>
      </c>
      <c r="R453" s="7" t="str">
        <f>IF(OR(LOWER(TRIM(tblbuyers[[#This Row],[Purchased Bike]]))="yes",LOWER(TRIM(tblbuyers[[#This Row],[Purchased Bike]]))="y"),"Yes","No")</f>
        <v>No</v>
      </c>
    </row>
    <row r="454" spans="1:18"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c r="O454">
        <f>COUNTBLANK(tblbuyers[Income])</f>
        <v>0</v>
      </c>
      <c r="P454" t="str">
        <f>IF(tblbuyers[[#This Row],[Age]]&lt;30,"&lt;30",IF(tblbuyers[[#This Row],[Age]]&lt;=45,"30-45",IF(tblbuyers[[#This Row],[Age]]&lt;=60,"46-60","60+")))</f>
        <v>60+</v>
      </c>
      <c r="Q454" t="str">
        <f>IF(tblbuyers[[#This Row],[Income]]&lt;30000,"Low",IF(tblbuyers[[#This Row],[Income]]&lt;=70000,"Medium","High"))</f>
        <v>Medium</v>
      </c>
      <c r="R454" s="7" t="str">
        <f>IF(OR(LOWER(TRIM(tblbuyers[[#This Row],[Purchased Bike]]))="yes",LOWER(TRIM(tblbuyers[[#This Row],[Purchased Bike]]))="y"),"Yes","No")</f>
        <v>No</v>
      </c>
    </row>
    <row r="455" spans="1:18"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c r="O455">
        <f>COUNTBLANK(tblbuyers[Income])</f>
        <v>0</v>
      </c>
      <c r="P455" t="str">
        <f>IF(tblbuyers[[#This Row],[Age]]&lt;30,"&lt;30",IF(tblbuyers[[#This Row],[Age]]&lt;=45,"30-45",IF(tblbuyers[[#This Row],[Age]]&lt;=60,"46-60","60+")))</f>
        <v>30-45</v>
      </c>
      <c r="Q455" t="str">
        <f>IF(tblbuyers[[#This Row],[Income]]&lt;30000,"Low",IF(tblbuyers[[#This Row],[Income]]&lt;=70000,"Medium","High"))</f>
        <v>Medium</v>
      </c>
      <c r="R455" s="7" t="str">
        <f>IF(OR(LOWER(TRIM(tblbuyers[[#This Row],[Purchased Bike]]))="yes",LOWER(TRIM(tblbuyers[[#This Row],[Purchased Bike]]))="y"),"Yes","No")</f>
        <v>No</v>
      </c>
    </row>
    <row r="456" spans="1:18"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c r="O456">
        <f>COUNTBLANK(tblbuyers[Income])</f>
        <v>0</v>
      </c>
      <c r="P456" t="str">
        <f>IF(tblbuyers[[#This Row],[Age]]&lt;30,"&lt;30",IF(tblbuyers[[#This Row],[Age]]&lt;=45,"30-45",IF(tblbuyers[[#This Row],[Age]]&lt;=60,"46-60","60+")))</f>
        <v>30-45</v>
      </c>
      <c r="Q456" t="str">
        <f>IF(tblbuyers[[#This Row],[Income]]&lt;30000,"Low",IF(tblbuyers[[#This Row],[Income]]&lt;=70000,"Medium","High"))</f>
        <v>Medium</v>
      </c>
      <c r="R456" s="7" t="str">
        <f>IF(OR(LOWER(TRIM(tblbuyers[[#This Row],[Purchased Bike]]))="yes",LOWER(TRIM(tblbuyers[[#This Row],[Purchased Bike]]))="y"),"Yes","No")</f>
        <v>No</v>
      </c>
    </row>
    <row r="457" spans="1:18"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c r="O457">
        <f>COUNTBLANK(tblbuyers[Income])</f>
        <v>0</v>
      </c>
      <c r="P457" t="str">
        <f>IF(tblbuyers[[#This Row],[Age]]&lt;30,"&lt;30",IF(tblbuyers[[#This Row],[Age]]&lt;=45,"30-45",IF(tblbuyers[[#This Row],[Age]]&lt;=60,"46-60","60+")))</f>
        <v>46-60</v>
      </c>
      <c r="Q457" t="str">
        <f>IF(tblbuyers[[#This Row],[Income]]&lt;30000,"Low",IF(tblbuyers[[#This Row],[Income]]&lt;=70000,"Medium","High"))</f>
        <v>High</v>
      </c>
      <c r="R457" s="7" t="str">
        <f>IF(OR(LOWER(TRIM(tblbuyers[[#This Row],[Purchased Bike]]))="yes",LOWER(TRIM(tblbuyers[[#This Row],[Purchased Bike]]))="y"),"Yes","No")</f>
        <v>Yes</v>
      </c>
    </row>
    <row r="458" spans="1:18"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c r="O458">
        <f>COUNTBLANK(tblbuyers[Income])</f>
        <v>0</v>
      </c>
      <c r="P458" t="str">
        <f>IF(tblbuyers[[#This Row],[Age]]&lt;30,"&lt;30",IF(tblbuyers[[#This Row],[Age]]&lt;=45,"30-45",IF(tblbuyers[[#This Row],[Age]]&lt;=60,"46-60","60+")))</f>
        <v>46-60</v>
      </c>
      <c r="Q458" t="str">
        <f>IF(tblbuyers[[#This Row],[Income]]&lt;30000,"Low",IF(tblbuyers[[#This Row],[Income]]&lt;=70000,"Medium","High"))</f>
        <v>High</v>
      </c>
      <c r="R458" s="7" t="str">
        <f>IF(OR(LOWER(TRIM(tblbuyers[[#This Row],[Purchased Bike]]))="yes",LOWER(TRIM(tblbuyers[[#This Row],[Purchased Bike]]))="y"),"Yes","No")</f>
        <v>No</v>
      </c>
    </row>
    <row r="459" spans="1:18"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c r="O459">
        <f>COUNTBLANK(tblbuyers[Income])</f>
        <v>0</v>
      </c>
      <c r="P459" t="str">
        <f>IF(tblbuyers[[#This Row],[Age]]&lt;30,"&lt;30",IF(tblbuyers[[#This Row],[Age]]&lt;=45,"30-45",IF(tblbuyers[[#This Row],[Age]]&lt;=60,"46-60","60+")))</f>
        <v>60+</v>
      </c>
      <c r="Q459" t="str">
        <f>IF(tblbuyers[[#This Row],[Income]]&lt;30000,"Low",IF(tblbuyers[[#This Row],[Income]]&lt;=70000,"Medium","High"))</f>
        <v>Low</v>
      </c>
      <c r="R459" s="7" t="str">
        <f>IF(OR(LOWER(TRIM(tblbuyers[[#This Row],[Purchased Bike]]))="yes",LOWER(TRIM(tblbuyers[[#This Row],[Purchased Bike]]))="y"),"Yes","No")</f>
        <v>No</v>
      </c>
    </row>
    <row r="460" spans="1:18" x14ac:dyDescent="0.25">
      <c r="A460">
        <v>21560</v>
      </c>
      <c r="B460" t="s">
        <v>36</v>
      </c>
      <c r="C460" t="s">
        <v>39</v>
      </c>
      <c r="D460" s="3">
        <v>120000</v>
      </c>
      <c r="E460">
        <v>0</v>
      </c>
      <c r="F460" t="s">
        <v>29</v>
      </c>
      <c r="G460" t="s">
        <v>21</v>
      </c>
      <c r="H460" t="s">
        <v>15</v>
      </c>
      <c r="I460">
        <v>4</v>
      </c>
      <c r="J460" t="s">
        <v>30</v>
      </c>
      <c r="K460" t="s">
        <v>24</v>
      </c>
      <c r="L460">
        <v>32</v>
      </c>
      <c r="M460" t="str">
        <f t="shared" si="7"/>
        <v>Middle Age</v>
      </c>
      <c r="N460" t="s">
        <v>15</v>
      </c>
      <c r="O460">
        <f>COUNTBLANK(tblbuyers[Income])</f>
        <v>0</v>
      </c>
      <c r="P460" t="str">
        <f>IF(tblbuyers[[#This Row],[Age]]&lt;30,"&lt;30",IF(tblbuyers[[#This Row],[Age]]&lt;=45,"30-45",IF(tblbuyers[[#This Row],[Age]]&lt;=60,"46-60","60+")))</f>
        <v>30-45</v>
      </c>
      <c r="Q460" t="str">
        <f>IF(tblbuyers[[#This Row],[Income]]&lt;30000,"Low",IF(tblbuyers[[#This Row],[Income]]&lt;=70000,"Medium","High"))</f>
        <v>High</v>
      </c>
      <c r="R460" s="7" t="str">
        <f>IF(OR(LOWER(TRIM(tblbuyers[[#This Row],[Purchased Bike]]))="yes",LOWER(TRIM(tblbuyers[[#This Row],[Purchased Bike]]))="y"),"Yes","No")</f>
        <v>Yes</v>
      </c>
    </row>
    <row r="461" spans="1:18"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c r="O461">
        <f>COUNTBLANK(tblbuyers[Income])</f>
        <v>0</v>
      </c>
      <c r="P461" t="str">
        <f>IF(tblbuyers[[#This Row],[Age]]&lt;30,"&lt;30",IF(tblbuyers[[#This Row],[Age]]&lt;=45,"30-45",IF(tblbuyers[[#This Row],[Age]]&lt;=60,"46-60","60+")))</f>
        <v>30-45</v>
      </c>
      <c r="Q461" t="str">
        <f>IF(tblbuyers[[#This Row],[Income]]&lt;30000,"Low",IF(tblbuyers[[#This Row],[Income]]&lt;=70000,"Medium","High"))</f>
        <v>High</v>
      </c>
      <c r="R461" s="7" t="str">
        <f>IF(OR(LOWER(TRIM(tblbuyers[[#This Row],[Purchased Bike]]))="yes",LOWER(TRIM(tblbuyers[[#This Row],[Purchased Bike]]))="y"),"Yes","No")</f>
        <v>No</v>
      </c>
    </row>
    <row r="462" spans="1:18"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c r="O462">
        <f>COUNTBLANK(tblbuyers[Income])</f>
        <v>0</v>
      </c>
      <c r="P462" t="str">
        <f>IF(tblbuyers[[#This Row],[Age]]&lt;30,"&lt;30",IF(tblbuyers[[#This Row],[Age]]&lt;=45,"30-45",IF(tblbuyers[[#This Row],[Age]]&lt;=60,"46-60","60+")))</f>
        <v>30-45</v>
      </c>
      <c r="Q462" t="str">
        <f>IF(tblbuyers[[#This Row],[Income]]&lt;30000,"Low",IF(tblbuyers[[#This Row],[Income]]&lt;=70000,"Medium","High"))</f>
        <v>Low</v>
      </c>
      <c r="R462" s="7" t="str">
        <f>IF(OR(LOWER(TRIM(tblbuyers[[#This Row],[Purchased Bike]]))="yes",LOWER(TRIM(tblbuyers[[#This Row],[Purchased Bike]]))="y"),"Yes","No")</f>
        <v>Yes</v>
      </c>
    </row>
    <row r="463" spans="1:18"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c r="O463">
        <f>COUNTBLANK(tblbuyers[Income])</f>
        <v>0</v>
      </c>
      <c r="P463" t="str">
        <f>IF(tblbuyers[[#This Row],[Age]]&lt;30,"&lt;30",IF(tblbuyers[[#This Row],[Age]]&lt;=45,"30-45",IF(tblbuyers[[#This Row],[Age]]&lt;=60,"46-60","60+")))</f>
        <v>46-60</v>
      </c>
      <c r="Q463" t="str">
        <f>IF(tblbuyers[[#This Row],[Income]]&lt;30000,"Low",IF(tblbuyers[[#This Row],[Income]]&lt;=70000,"Medium","High"))</f>
        <v>High</v>
      </c>
      <c r="R463" s="7" t="str">
        <f>IF(OR(LOWER(TRIM(tblbuyers[[#This Row],[Purchased Bike]]))="yes",LOWER(TRIM(tblbuyers[[#This Row],[Purchased Bike]]))="y"),"Yes","No")</f>
        <v>Yes</v>
      </c>
    </row>
    <row r="464" spans="1:18"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c r="O464">
        <f>COUNTBLANK(tblbuyers[Income])</f>
        <v>0</v>
      </c>
      <c r="P464" t="str">
        <f>IF(tblbuyers[[#This Row],[Age]]&lt;30,"&lt;30",IF(tblbuyers[[#This Row],[Age]]&lt;=45,"30-45",IF(tblbuyers[[#This Row],[Age]]&lt;=60,"46-60","60+")))</f>
        <v>30-45</v>
      </c>
      <c r="Q464" t="str">
        <f>IF(tblbuyers[[#This Row],[Income]]&lt;30000,"Low",IF(tblbuyers[[#This Row],[Income]]&lt;=70000,"Medium","High"))</f>
        <v>Medium</v>
      </c>
      <c r="R464" s="7" t="str">
        <f>IF(OR(LOWER(TRIM(tblbuyers[[#This Row],[Purchased Bike]]))="yes",LOWER(TRIM(tblbuyers[[#This Row],[Purchased Bike]]))="y"),"Yes","No")</f>
        <v>Yes</v>
      </c>
    </row>
    <row r="465" spans="1:18"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c r="O465">
        <f>COUNTBLANK(tblbuyers[Income])</f>
        <v>0</v>
      </c>
      <c r="P465" t="str">
        <f>IF(tblbuyers[[#This Row],[Age]]&lt;30,"&lt;30",IF(tblbuyers[[#This Row],[Age]]&lt;=45,"30-45",IF(tblbuyers[[#This Row],[Age]]&lt;=60,"46-60","60+")))</f>
        <v>30-45</v>
      </c>
      <c r="Q465" t="str">
        <f>IF(tblbuyers[[#This Row],[Income]]&lt;30000,"Low",IF(tblbuyers[[#This Row],[Income]]&lt;=70000,"Medium","High"))</f>
        <v>Low</v>
      </c>
      <c r="R465" s="7" t="str">
        <f>IF(OR(LOWER(TRIM(tblbuyers[[#This Row],[Purchased Bike]]))="yes",LOWER(TRIM(tblbuyers[[#This Row],[Purchased Bike]]))="y"),"Yes","No")</f>
        <v>No</v>
      </c>
    </row>
    <row r="466" spans="1:18"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c r="O466">
        <f>COUNTBLANK(tblbuyers[Income])</f>
        <v>0</v>
      </c>
      <c r="P466" t="str">
        <f>IF(tblbuyers[[#This Row],[Age]]&lt;30,"&lt;30",IF(tblbuyers[[#This Row],[Age]]&lt;=45,"30-45",IF(tblbuyers[[#This Row],[Age]]&lt;=60,"46-60","60+")))</f>
        <v>46-60</v>
      </c>
      <c r="Q466" t="str">
        <f>IF(tblbuyers[[#This Row],[Income]]&lt;30000,"Low",IF(tblbuyers[[#This Row],[Income]]&lt;=70000,"Medium","High"))</f>
        <v>Medium</v>
      </c>
      <c r="R466" s="7" t="str">
        <f>IF(OR(LOWER(TRIM(tblbuyers[[#This Row],[Purchased Bike]]))="yes",LOWER(TRIM(tblbuyers[[#This Row],[Purchased Bike]]))="y"),"Yes","No")</f>
        <v>Yes</v>
      </c>
    </row>
    <row r="467" spans="1:18"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c r="O467">
        <f>COUNTBLANK(tblbuyers[Income])</f>
        <v>0</v>
      </c>
      <c r="P467" t="str">
        <f>IF(tblbuyers[[#This Row],[Age]]&lt;30,"&lt;30",IF(tblbuyers[[#This Row],[Age]]&lt;=45,"30-45",IF(tblbuyers[[#This Row],[Age]]&lt;=60,"46-60","60+")))</f>
        <v>60+</v>
      </c>
      <c r="Q467" t="str">
        <f>IF(tblbuyers[[#This Row],[Income]]&lt;30000,"Low",IF(tblbuyers[[#This Row],[Income]]&lt;=70000,"Medium","High"))</f>
        <v>Medium</v>
      </c>
      <c r="R467" s="7" t="str">
        <f>IF(OR(LOWER(TRIM(tblbuyers[[#This Row],[Purchased Bike]]))="yes",LOWER(TRIM(tblbuyers[[#This Row],[Purchased Bike]]))="y"),"Yes","No")</f>
        <v>No</v>
      </c>
    </row>
    <row r="468" spans="1:18"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c r="O468">
        <f>COUNTBLANK(tblbuyers[Income])</f>
        <v>0</v>
      </c>
      <c r="P468" t="str">
        <f>IF(tblbuyers[[#This Row],[Age]]&lt;30,"&lt;30",IF(tblbuyers[[#This Row],[Age]]&lt;=45,"30-45",IF(tblbuyers[[#This Row],[Age]]&lt;=60,"46-60","60+")))</f>
        <v>46-60</v>
      </c>
      <c r="Q468" t="str">
        <f>IF(tblbuyers[[#This Row],[Income]]&lt;30000,"Low",IF(tblbuyers[[#This Row],[Income]]&lt;=70000,"Medium","High"))</f>
        <v>Medium</v>
      </c>
      <c r="R468" s="7" t="str">
        <f>IF(OR(LOWER(TRIM(tblbuyers[[#This Row],[Purchased Bike]]))="yes",LOWER(TRIM(tblbuyers[[#This Row],[Purchased Bike]]))="y"),"Yes","No")</f>
        <v>Yes</v>
      </c>
    </row>
    <row r="469" spans="1:18"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c r="O469">
        <f>COUNTBLANK(tblbuyers[Income])</f>
        <v>0</v>
      </c>
      <c r="P469" t="str">
        <f>IF(tblbuyers[[#This Row],[Age]]&lt;30,"&lt;30",IF(tblbuyers[[#This Row],[Age]]&lt;=45,"30-45",IF(tblbuyers[[#This Row],[Age]]&lt;=60,"46-60","60+")))</f>
        <v>46-60</v>
      </c>
      <c r="Q469" t="str">
        <f>IF(tblbuyers[[#This Row],[Income]]&lt;30000,"Low",IF(tblbuyers[[#This Row],[Income]]&lt;=70000,"Medium","High"))</f>
        <v>High</v>
      </c>
      <c r="R469" s="7" t="str">
        <f>IF(OR(LOWER(TRIM(tblbuyers[[#This Row],[Purchased Bike]]))="yes",LOWER(TRIM(tblbuyers[[#This Row],[Purchased Bike]]))="y"),"Yes","No")</f>
        <v>Yes</v>
      </c>
    </row>
    <row r="470" spans="1:18"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c r="O470">
        <f>COUNTBLANK(tblbuyers[Income])</f>
        <v>0</v>
      </c>
      <c r="P470" t="str">
        <f>IF(tblbuyers[[#This Row],[Age]]&lt;30,"&lt;30",IF(tblbuyers[[#This Row],[Age]]&lt;=45,"30-45",IF(tblbuyers[[#This Row],[Age]]&lt;=60,"46-60","60+")))</f>
        <v>30-45</v>
      </c>
      <c r="Q470" t="str">
        <f>IF(tblbuyers[[#This Row],[Income]]&lt;30000,"Low",IF(tblbuyers[[#This Row],[Income]]&lt;=70000,"Medium","High"))</f>
        <v>High</v>
      </c>
      <c r="R470" s="7" t="str">
        <f>IF(OR(LOWER(TRIM(tblbuyers[[#This Row],[Purchased Bike]]))="yes",LOWER(TRIM(tblbuyers[[#This Row],[Purchased Bike]]))="y"),"Yes","No")</f>
        <v>No</v>
      </c>
    </row>
    <row r="471" spans="1:18"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c r="O471">
        <f>COUNTBLANK(tblbuyers[Income])</f>
        <v>0</v>
      </c>
      <c r="P471" t="str">
        <f>IF(tblbuyers[[#This Row],[Age]]&lt;30,"&lt;30",IF(tblbuyers[[#This Row],[Age]]&lt;=45,"30-45",IF(tblbuyers[[#This Row],[Age]]&lt;=60,"46-60","60+")))</f>
        <v>60+</v>
      </c>
      <c r="Q471" t="str">
        <f>IF(tblbuyers[[#This Row],[Income]]&lt;30000,"Low",IF(tblbuyers[[#This Row],[Income]]&lt;=70000,"Medium","High"))</f>
        <v>Medium</v>
      </c>
      <c r="R471" s="7" t="str">
        <f>IF(OR(LOWER(TRIM(tblbuyers[[#This Row],[Purchased Bike]]))="yes",LOWER(TRIM(tblbuyers[[#This Row],[Purchased Bike]]))="y"),"Yes","No")</f>
        <v>No</v>
      </c>
    </row>
    <row r="472" spans="1:18"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c r="O472">
        <f>COUNTBLANK(tblbuyers[Income])</f>
        <v>0</v>
      </c>
      <c r="P472" t="str">
        <f>IF(tblbuyers[[#This Row],[Age]]&lt;30,"&lt;30",IF(tblbuyers[[#This Row],[Age]]&lt;=45,"30-45",IF(tblbuyers[[#This Row],[Age]]&lt;=60,"46-60","60+")))</f>
        <v>&lt;30</v>
      </c>
      <c r="Q472" t="str">
        <f>IF(tblbuyers[[#This Row],[Income]]&lt;30000,"Low",IF(tblbuyers[[#This Row],[Income]]&lt;=70000,"Medium","High"))</f>
        <v>Medium</v>
      </c>
      <c r="R472" s="7" t="str">
        <f>IF(OR(LOWER(TRIM(tblbuyers[[#This Row],[Purchased Bike]]))="yes",LOWER(TRIM(tblbuyers[[#This Row],[Purchased Bike]]))="y"),"Yes","No")</f>
        <v>No</v>
      </c>
    </row>
    <row r="473" spans="1:18"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c r="O473">
        <f>COUNTBLANK(tblbuyers[Income])</f>
        <v>0</v>
      </c>
      <c r="P473" t="str">
        <f>IF(tblbuyers[[#This Row],[Age]]&lt;30,"&lt;30",IF(tblbuyers[[#This Row],[Age]]&lt;=45,"30-45",IF(tblbuyers[[#This Row],[Age]]&lt;=60,"46-60","60+")))</f>
        <v>30-45</v>
      </c>
      <c r="Q473" t="str">
        <f>IF(tblbuyers[[#This Row],[Income]]&lt;30000,"Low",IF(tblbuyers[[#This Row],[Income]]&lt;=70000,"Medium","High"))</f>
        <v>Medium</v>
      </c>
      <c r="R473" s="7" t="str">
        <f>IF(OR(LOWER(TRIM(tblbuyers[[#This Row],[Purchased Bike]]))="yes",LOWER(TRIM(tblbuyers[[#This Row],[Purchased Bike]]))="y"),"Yes","No")</f>
        <v>Yes</v>
      </c>
    </row>
    <row r="474" spans="1:18"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c r="O474">
        <f>COUNTBLANK(tblbuyers[Income])</f>
        <v>0</v>
      </c>
      <c r="P474" t="str">
        <f>IF(tblbuyers[[#This Row],[Age]]&lt;30,"&lt;30",IF(tblbuyers[[#This Row],[Age]]&lt;=45,"30-45",IF(tblbuyers[[#This Row],[Age]]&lt;=60,"46-60","60+")))</f>
        <v>30-45</v>
      </c>
      <c r="Q474" t="str">
        <f>IF(tblbuyers[[#This Row],[Income]]&lt;30000,"Low",IF(tblbuyers[[#This Row],[Income]]&lt;=70000,"Medium","High"))</f>
        <v>Medium</v>
      </c>
      <c r="R474" s="7" t="str">
        <f>IF(OR(LOWER(TRIM(tblbuyers[[#This Row],[Purchased Bike]]))="yes",LOWER(TRIM(tblbuyers[[#This Row],[Purchased Bike]]))="y"),"Yes","No")</f>
        <v>Yes</v>
      </c>
    </row>
    <row r="475" spans="1:18"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c r="O475">
        <f>COUNTBLANK(tblbuyers[Income])</f>
        <v>0</v>
      </c>
      <c r="P475" t="str">
        <f>IF(tblbuyers[[#This Row],[Age]]&lt;30,"&lt;30",IF(tblbuyers[[#This Row],[Age]]&lt;=45,"30-45",IF(tblbuyers[[#This Row],[Age]]&lt;=60,"46-60","60+")))</f>
        <v>46-60</v>
      </c>
      <c r="Q475" t="str">
        <f>IF(tblbuyers[[#This Row],[Income]]&lt;30000,"Low",IF(tblbuyers[[#This Row],[Income]]&lt;=70000,"Medium","High"))</f>
        <v>Medium</v>
      </c>
      <c r="R475" s="7" t="str">
        <f>IF(OR(LOWER(TRIM(tblbuyers[[#This Row],[Purchased Bike]]))="yes",LOWER(TRIM(tblbuyers[[#This Row],[Purchased Bike]]))="y"),"Yes","No")</f>
        <v>Yes</v>
      </c>
    </row>
    <row r="476" spans="1:18"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c r="O476">
        <f>COUNTBLANK(tblbuyers[Income])</f>
        <v>0</v>
      </c>
      <c r="P476" t="str">
        <f>IF(tblbuyers[[#This Row],[Age]]&lt;30,"&lt;30",IF(tblbuyers[[#This Row],[Age]]&lt;=45,"30-45",IF(tblbuyers[[#This Row],[Age]]&lt;=60,"46-60","60+")))</f>
        <v>30-45</v>
      </c>
      <c r="Q476" t="str">
        <f>IF(tblbuyers[[#This Row],[Income]]&lt;30000,"Low",IF(tblbuyers[[#This Row],[Income]]&lt;=70000,"Medium","High"))</f>
        <v>High</v>
      </c>
      <c r="R476" s="7" t="str">
        <f>IF(OR(LOWER(TRIM(tblbuyers[[#This Row],[Purchased Bike]]))="yes",LOWER(TRIM(tblbuyers[[#This Row],[Purchased Bike]]))="y"),"Yes","No")</f>
        <v>Yes</v>
      </c>
    </row>
    <row r="477" spans="1:18"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c r="O477">
        <f>COUNTBLANK(tblbuyers[Income])</f>
        <v>0</v>
      </c>
      <c r="P477" t="str">
        <f>IF(tblbuyers[[#This Row],[Age]]&lt;30,"&lt;30",IF(tblbuyers[[#This Row],[Age]]&lt;=45,"30-45",IF(tblbuyers[[#This Row],[Age]]&lt;=60,"46-60","60+")))</f>
        <v>46-60</v>
      </c>
      <c r="Q477" t="str">
        <f>IF(tblbuyers[[#This Row],[Income]]&lt;30000,"Low",IF(tblbuyers[[#This Row],[Income]]&lt;=70000,"Medium","High"))</f>
        <v>Low</v>
      </c>
      <c r="R477" s="7" t="str">
        <f>IF(OR(LOWER(TRIM(tblbuyers[[#This Row],[Purchased Bike]]))="yes",LOWER(TRIM(tblbuyers[[#This Row],[Purchased Bike]]))="y"),"Yes","No")</f>
        <v>No</v>
      </c>
    </row>
    <row r="478" spans="1:18"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c r="O478">
        <f>COUNTBLANK(tblbuyers[Income])</f>
        <v>0</v>
      </c>
      <c r="P478" t="str">
        <f>IF(tblbuyers[[#This Row],[Age]]&lt;30,"&lt;30",IF(tblbuyers[[#This Row],[Age]]&lt;=45,"30-45",IF(tblbuyers[[#This Row],[Age]]&lt;=60,"46-60","60+")))</f>
        <v>30-45</v>
      </c>
      <c r="Q478" t="str">
        <f>IF(tblbuyers[[#This Row],[Income]]&lt;30000,"Low",IF(tblbuyers[[#This Row],[Income]]&lt;=70000,"Medium","High"))</f>
        <v>Medium</v>
      </c>
      <c r="R478" s="7" t="str">
        <f>IF(OR(LOWER(TRIM(tblbuyers[[#This Row],[Purchased Bike]]))="yes",LOWER(TRIM(tblbuyers[[#This Row],[Purchased Bike]]))="y"),"Yes","No")</f>
        <v>Yes</v>
      </c>
    </row>
    <row r="479" spans="1:18"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c r="O479">
        <f>COUNTBLANK(tblbuyers[Income])</f>
        <v>0</v>
      </c>
      <c r="P479" t="str">
        <f>IF(tblbuyers[[#This Row],[Age]]&lt;30,"&lt;30",IF(tblbuyers[[#This Row],[Age]]&lt;=45,"30-45",IF(tblbuyers[[#This Row],[Age]]&lt;=60,"46-60","60+")))</f>
        <v>46-60</v>
      </c>
      <c r="Q479" t="str">
        <f>IF(tblbuyers[[#This Row],[Income]]&lt;30000,"Low",IF(tblbuyers[[#This Row],[Income]]&lt;=70000,"Medium","High"))</f>
        <v>Medium</v>
      </c>
      <c r="R479" s="7" t="str">
        <f>IF(OR(LOWER(TRIM(tblbuyers[[#This Row],[Purchased Bike]]))="yes",LOWER(TRIM(tblbuyers[[#This Row],[Purchased Bike]]))="y"),"Yes","No")</f>
        <v>Yes</v>
      </c>
    </row>
    <row r="480" spans="1:18"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c r="O480">
        <f>COUNTBLANK(tblbuyers[Income])</f>
        <v>0</v>
      </c>
      <c r="P480" t="str">
        <f>IF(tblbuyers[[#This Row],[Age]]&lt;30,"&lt;30",IF(tblbuyers[[#This Row],[Age]]&lt;=45,"30-45",IF(tblbuyers[[#This Row],[Age]]&lt;=60,"46-60","60+")))</f>
        <v>30-45</v>
      </c>
      <c r="Q480" t="str">
        <f>IF(tblbuyers[[#This Row],[Income]]&lt;30000,"Low",IF(tblbuyers[[#This Row],[Income]]&lt;=70000,"Medium","High"))</f>
        <v>Medium</v>
      </c>
      <c r="R480" s="7" t="str">
        <f>IF(OR(LOWER(TRIM(tblbuyers[[#This Row],[Purchased Bike]]))="yes",LOWER(TRIM(tblbuyers[[#This Row],[Purchased Bike]]))="y"),"Yes","No")</f>
        <v>Yes</v>
      </c>
    </row>
    <row r="481" spans="1:18"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c r="O481">
        <f>COUNTBLANK(tblbuyers[Income])</f>
        <v>0</v>
      </c>
      <c r="P481" t="str">
        <f>IF(tblbuyers[[#This Row],[Age]]&lt;30,"&lt;30",IF(tblbuyers[[#This Row],[Age]]&lt;=45,"30-45",IF(tblbuyers[[#This Row],[Age]]&lt;=60,"46-60","60+")))</f>
        <v>30-45</v>
      </c>
      <c r="Q481" t="str">
        <f>IF(tblbuyers[[#This Row],[Income]]&lt;30000,"Low",IF(tblbuyers[[#This Row],[Income]]&lt;=70000,"Medium","High"))</f>
        <v>Medium</v>
      </c>
      <c r="R481" s="7" t="str">
        <f>IF(OR(LOWER(TRIM(tblbuyers[[#This Row],[Purchased Bike]]))="yes",LOWER(TRIM(tblbuyers[[#This Row],[Purchased Bike]]))="y"),"Yes","No")</f>
        <v>Yes</v>
      </c>
    </row>
    <row r="482" spans="1:18"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c r="O482">
        <f>COUNTBLANK(tblbuyers[Income])</f>
        <v>0</v>
      </c>
      <c r="P482" t="str">
        <f>IF(tblbuyers[[#This Row],[Age]]&lt;30,"&lt;30",IF(tblbuyers[[#This Row],[Age]]&lt;=45,"30-45",IF(tblbuyers[[#This Row],[Age]]&lt;=60,"46-60","60+")))</f>
        <v>46-60</v>
      </c>
      <c r="Q482" t="str">
        <f>IF(tblbuyers[[#This Row],[Income]]&lt;30000,"Low",IF(tblbuyers[[#This Row],[Income]]&lt;=70000,"Medium","High"))</f>
        <v>High</v>
      </c>
      <c r="R482" s="7" t="str">
        <f>IF(OR(LOWER(TRIM(tblbuyers[[#This Row],[Purchased Bike]]))="yes",LOWER(TRIM(tblbuyers[[#This Row],[Purchased Bike]]))="y"),"Yes","No")</f>
        <v>No</v>
      </c>
    </row>
    <row r="483" spans="1:18"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c r="O483">
        <f>COUNTBLANK(tblbuyers[Income])</f>
        <v>0</v>
      </c>
      <c r="P483" t="str">
        <f>IF(tblbuyers[[#This Row],[Age]]&lt;30,"&lt;30",IF(tblbuyers[[#This Row],[Age]]&lt;=45,"30-45",IF(tblbuyers[[#This Row],[Age]]&lt;=60,"46-60","60+")))</f>
        <v>30-45</v>
      </c>
      <c r="Q483" t="str">
        <f>IF(tblbuyers[[#This Row],[Income]]&lt;30000,"Low",IF(tblbuyers[[#This Row],[Income]]&lt;=70000,"Medium","High"))</f>
        <v>Medium</v>
      </c>
      <c r="R483" s="7" t="str">
        <f>IF(OR(LOWER(TRIM(tblbuyers[[#This Row],[Purchased Bike]]))="yes",LOWER(TRIM(tblbuyers[[#This Row],[Purchased Bike]]))="y"),"Yes","No")</f>
        <v>Yes</v>
      </c>
    </row>
    <row r="484" spans="1:18"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c r="O484">
        <f>COUNTBLANK(tblbuyers[Income])</f>
        <v>0</v>
      </c>
      <c r="P484" t="str">
        <f>IF(tblbuyers[[#This Row],[Age]]&lt;30,"&lt;30",IF(tblbuyers[[#This Row],[Age]]&lt;=45,"30-45",IF(tblbuyers[[#This Row],[Age]]&lt;=60,"46-60","60+")))</f>
        <v>30-45</v>
      </c>
      <c r="Q484" t="str">
        <f>IF(tblbuyers[[#This Row],[Income]]&lt;30000,"Low",IF(tblbuyers[[#This Row],[Income]]&lt;=70000,"Medium","High"))</f>
        <v>Medium</v>
      </c>
      <c r="R484" s="7" t="str">
        <f>IF(OR(LOWER(TRIM(tblbuyers[[#This Row],[Purchased Bike]]))="yes",LOWER(TRIM(tblbuyers[[#This Row],[Purchased Bike]]))="y"),"Yes","No")</f>
        <v>Yes</v>
      </c>
    </row>
    <row r="485" spans="1:18"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c r="O485">
        <f>COUNTBLANK(tblbuyers[Income])</f>
        <v>0</v>
      </c>
      <c r="P485" t="str">
        <f>IF(tblbuyers[[#This Row],[Age]]&lt;30,"&lt;30",IF(tblbuyers[[#This Row],[Age]]&lt;=45,"30-45",IF(tblbuyers[[#This Row],[Age]]&lt;=60,"46-60","60+")))</f>
        <v>60+</v>
      </c>
      <c r="Q485" t="str">
        <f>IF(tblbuyers[[#This Row],[Income]]&lt;30000,"Low",IF(tblbuyers[[#This Row],[Income]]&lt;=70000,"Medium","High"))</f>
        <v>Low</v>
      </c>
      <c r="R485" s="7" t="str">
        <f>IF(OR(LOWER(TRIM(tblbuyers[[#This Row],[Purchased Bike]]))="yes",LOWER(TRIM(tblbuyers[[#This Row],[Purchased Bike]]))="y"),"Yes","No")</f>
        <v>No</v>
      </c>
    </row>
    <row r="486" spans="1:18"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c r="O486">
        <f>COUNTBLANK(tblbuyers[Income])</f>
        <v>0</v>
      </c>
      <c r="P486" t="str">
        <f>IF(tblbuyers[[#This Row],[Age]]&lt;30,"&lt;30",IF(tblbuyers[[#This Row],[Age]]&lt;=45,"30-45",IF(tblbuyers[[#This Row],[Age]]&lt;=60,"46-60","60+")))</f>
        <v>30-45</v>
      </c>
      <c r="Q486" t="str">
        <f>IF(tblbuyers[[#This Row],[Income]]&lt;30000,"Low",IF(tblbuyers[[#This Row],[Income]]&lt;=70000,"Medium","High"))</f>
        <v>Medium</v>
      </c>
      <c r="R486" s="7" t="str">
        <f>IF(OR(LOWER(TRIM(tblbuyers[[#This Row],[Purchased Bike]]))="yes",LOWER(TRIM(tblbuyers[[#This Row],[Purchased Bike]]))="y"),"Yes","No")</f>
        <v>Yes</v>
      </c>
    </row>
    <row r="487" spans="1:18"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c r="O487">
        <f>COUNTBLANK(tblbuyers[Income])</f>
        <v>0</v>
      </c>
      <c r="P487" t="str">
        <f>IF(tblbuyers[[#This Row],[Age]]&lt;30,"&lt;30",IF(tblbuyers[[#This Row],[Age]]&lt;=45,"30-45",IF(tblbuyers[[#This Row],[Age]]&lt;=60,"46-60","60+")))</f>
        <v>30-45</v>
      </c>
      <c r="Q487" t="str">
        <f>IF(tblbuyers[[#This Row],[Income]]&lt;30000,"Low",IF(tblbuyers[[#This Row],[Income]]&lt;=70000,"Medium","High"))</f>
        <v>Medium</v>
      </c>
      <c r="R487" s="7" t="str">
        <f>IF(OR(LOWER(TRIM(tblbuyers[[#This Row],[Purchased Bike]]))="yes",LOWER(TRIM(tblbuyers[[#This Row],[Purchased Bike]]))="y"),"Yes","No")</f>
        <v>No</v>
      </c>
    </row>
    <row r="488" spans="1:18"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c r="O488">
        <f>COUNTBLANK(tblbuyers[Income])</f>
        <v>0</v>
      </c>
      <c r="P488" t="str">
        <f>IF(tblbuyers[[#This Row],[Age]]&lt;30,"&lt;30",IF(tblbuyers[[#This Row],[Age]]&lt;=45,"30-45",IF(tblbuyers[[#This Row],[Age]]&lt;=60,"46-60","60+")))</f>
        <v>46-60</v>
      </c>
      <c r="Q488" t="str">
        <f>IF(tblbuyers[[#This Row],[Income]]&lt;30000,"Low",IF(tblbuyers[[#This Row],[Income]]&lt;=70000,"Medium","High"))</f>
        <v>High</v>
      </c>
      <c r="R488" s="7" t="str">
        <f>IF(OR(LOWER(TRIM(tblbuyers[[#This Row],[Purchased Bike]]))="yes",LOWER(TRIM(tblbuyers[[#This Row],[Purchased Bike]]))="y"),"Yes","No")</f>
        <v>No</v>
      </c>
    </row>
    <row r="489" spans="1:18"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c r="O489">
        <f>COUNTBLANK(tblbuyers[Income])</f>
        <v>0</v>
      </c>
      <c r="P489" t="str">
        <f>IF(tblbuyers[[#This Row],[Age]]&lt;30,"&lt;30",IF(tblbuyers[[#This Row],[Age]]&lt;=45,"30-45",IF(tblbuyers[[#This Row],[Age]]&lt;=60,"46-60","60+")))</f>
        <v>30-45</v>
      </c>
      <c r="Q489" t="str">
        <f>IF(tblbuyers[[#This Row],[Income]]&lt;30000,"Low",IF(tblbuyers[[#This Row],[Income]]&lt;=70000,"Medium","High"))</f>
        <v>Medium</v>
      </c>
      <c r="R489" s="7" t="str">
        <f>IF(OR(LOWER(TRIM(tblbuyers[[#This Row],[Purchased Bike]]))="yes",LOWER(TRIM(tblbuyers[[#This Row],[Purchased Bike]]))="y"),"Yes","No")</f>
        <v>No</v>
      </c>
    </row>
    <row r="490" spans="1:18"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c r="O490">
        <f>COUNTBLANK(tblbuyers[Income])</f>
        <v>0</v>
      </c>
      <c r="P490" t="str">
        <f>IF(tblbuyers[[#This Row],[Age]]&lt;30,"&lt;30",IF(tblbuyers[[#This Row],[Age]]&lt;=45,"30-45",IF(tblbuyers[[#This Row],[Age]]&lt;=60,"46-60","60+")))</f>
        <v>30-45</v>
      </c>
      <c r="Q490" t="str">
        <f>IF(tblbuyers[[#This Row],[Income]]&lt;30000,"Low",IF(tblbuyers[[#This Row],[Income]]&lt;=70000,"Medium","High"))</f>
        <v>Low</v>
      </c>
      <c r="R490" s="7" t="str">
        <f>IF(OR(LOWER(TRIM(tblbuyers[[#This Row],[Purchased Bike]]))="yes",LOWER(TRIM(tblbuyers[[#This Row],[Purchased Bike]]))="y"),"Yes","No")</f>
        <v>No</v>
      </c>
    </row>
    <row r="491" spans="1:18"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c r="O491">
        <f>COUNTBLANK(tblbuyers[Income])</f>
        <v>0</v>
      </c>
      <c r="P491" t="str">
        <f>IF(tblbuyers[[#This Row],[Age]]&lt;30,"&lt;30",IF(tblbuyers[[#This Row],[Age]]&lt;=45,"30-45",IF(tblbuyers[[#This Row],[Age]]&lt;=60,"46-60","60+")))</f>
        <v>30-45</v>
      </c>
      <c r="Q491" t="str">
        <f>IF(tblbuyers[[#This Row],[Income]]&lt;30000,"Low",IF(tblbuyers[[#This Row],[Income]]&lt;=70000,"Medium","High"))</f>
        <v>Low</v>
      </c>
      <c r="R491" s="7" t="str">
        <f>IF(OR(LOWER(TRIM(tblbuyers[[#This Row],[Purchased Bike]]))="yes",LOWER(TRIM(tblbuyers[[#This Row],[Purchased Bike]]))="y"),"Yes","No")</f>
        <v>No</v>
      </c>
    </row>
    <row r="492" spans="1:18"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c r="O492">
        <f>COUNTBLANK(tblbuyers[Income])</f>
        <v>0</v>
      </c>
      <c r="P492" t="str">
        <f>IF(tblbuyers[[#This Row],[Age]]&lt;30,"&lt;30",IF(tblbuyers[[#This Row],[Age]]&lt;=45,"30-45",IF(tblbuyers[[#This Row],[Age]]&lt;=60,"46-60","60+")))</f>
        <v>46-60</v>
      </c>
      <c r="Q492" t="str">
        <f>IF(tblbuyers[[#This Row],[Income]]&lt;30000,"Low",IF(tblbuyers[[#This Row],[Income]]&lt;=70000,"Medium","High"))</f>
        <v>Medium</v>
      </c>
      <c r="R492" s="7" t="str">
        <f>IF(OR(LOWER(TRIM(tblbuyers[[#This Row],[Purchased Bike]]))="yes",LOWER(TRIM(tblbuyers[[#This Row],[Purchased Bike]]))="y"),"Yes","No")</f>
        <v>No</v>
      </c>
    </row>
    <row r="493" spans="1:18"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c r="O493">
        <f>COUNTBLANK(tblbuyers[Income])</f>
        <v>0</v>
      </c>
      <c r="P493" t="str">
        <f>IF(tblbuyers[[#This Row],[Age]]&lt;30,"&lt;30",IF(tblbuyers[[#This Row],[Age]]&lt;=45,"30-45",IF(tblbuyers[[#This Row],[Age]]&lt;=60,"46-60","60+")))</f>
        <v>46-60</v>
      </c>
      <c r="Q493" t="str">
        <f>IF(tblbuyers[[#This Row],[Income]]&lt;30000,"Low",IF(tblbuyers[[#This Row],[Income]]&lt;=70000,"Medium","High"))</f>
        <v>Medium</v>
      </c>
      <c r="R493" s="7" t="str">
        <f>IF(OR(LOWER(TRIM(tblbuyers[[#This Row],[Purchased Bike]]))="yes",LOWER(TRIM(tblbuyers[[#This Row],[Purchased Bike]]))="y"),"Yes","No")</f>
        <v>No</v>
      </c>
    </row>
    <row r="494" spans="1:18"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c r="O494">
        <f>COUNTBLANK(tblbuyers[Income])</f>
        <v>0</v>
      </c>
      <c r="P494" t="str">
        <f>IF(tblbuyers[[#This Row],[Age]]&lt;30,"&lt;30",IF(tblbuyers[[#This Row],[Age]]&lt;=45,"30-45",IF(tblbuyers[[#This Row],[Age]]&lt;=60,"46-60","60+")))</f>
        <v>30-45</v>
      </c>
      <c r="Q494" t="str">
        <f>IF(tblbuyers[[#This Row],[Income]]&lt;30000,"Low",IF(tblbuyers[[#This Row],[Income]]&lt;=70000,"Medium","High"))</f>
        <v>Medium</v>
      </c>
      <c r="R494" s="7" t="str">
        <f>IF(OR(LOWER(TRIM(tblbuyers[[#This Row],[Purchased Bike]]))="yes",LOWER(TRIM(tblbuyers[[#This Row],[Purchased Bike]]))="y"),"Yes","No")</f>
        <v>Yes</v>
      </c>
    </row>
    <row r="495" spans="1:18"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c r="O495">
        <f>COUNTBLANK(tblbuyers[Income])</f>
        <v>0</v>
      </c>
      <c r="P495" t="str">
        <f>IF(tblbuyers[[#This Row],[Age]]&lt;30,"&lt;30",IF(tblbuyers[[#This Row],[Age]]&lt;=45,"30-45",IF(tblbuyers[[#This Row],[Age]]&lt;=60,"46-60","60+")))</f>
        <v>46-60</v>
      </c>
      <c r="Q495" t="str">
        <f>IF(tblbuyers[[#This Row],[Income]]&lt;30000,"Low",IF(tblbuyers[[#This Row],[Income]]&lt;=70000,"Medium","High"))</f>
        <v>Medium</v>
      </c>
      <c r="R495" s="7" t="str">
        <f>IF(OR(LOWER(TRIM(tblbuyers[[#This Row],[Purchased Bike]]))="yes",LOWER(TRIM(tblbuyers[[#This Row],[Purchased Bike]]))="y"),"Yes","No")</f>
        <v>Yes</v>
      </c>
    </row>
    <row r="496" spans="1:18"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c r="O496">
        <f>COUNTBLANK(tblbuyers[Income])</f>
        <v>0</v>
      </c>
      <c r="P496" t="str">
        <f>IF(tblbuyers[[#This Row],[Age]]&lt;30,"&lt;30",IF(tblbuyers[[#This Row],[Age]]&lt;=45,"30-45",IF(tblbuyers[[#This Row],[Age]]&lt;=60,"46-60","60+")))</f>
        <v>46-60</v>
      </c>
      <c r="Q496" t="str">
        <f>IF(tblbuyers[[#This Row],[Income]]&lt;30000,"Low",IF(tblbuyers[[#This Row],[Income]]&lt;=70000,"Medium","High"))</f>
        <v>Medium</v>
      </c>
      <c r="R496" s="7" t="str">
        <f>IF(OR(LOWER(TRIM(tblbuyers[[#This Row],[Purchased Bike]]))="yes",LOWER(TRIM(tblbuyers[[#This Row],[Purchased Bike]]))="y"),"Yes","No")</f>
        <v>No</v>
      </c>
    </row>
    <row r="497" spans="1:18"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c r="O497">
        <f>COUNTBLANK(tblbuyers[Income])</f>
        <v>0</v>
      </c>
      <c r="P497" t="str">
        <f>IF(tblbuyers[[#This Row],[Age]]&lt;30,"&lt;30",IF(tblbuyers[[#This Row],[Age]]&lt;=45,"30-45",IF(tblbuyers[[#This Row],[Age]]&lt;=60,"46-60","60+")))</f>
        <v>46-60</v>
      </c>
      <c r="Q497" t="str">
        <f>IF(tblbuyers[[#This Row],[Income]]&lt;30000,"Low",IF(tblbuyers[[#This Row],[Income]]&lt;=70000,"Medium","High"))</f>
        <v>Medium</v>
      </c>
      <c r="R497" s="7" t="str">
        <f>IF(OR(LOWER(TRIM(tblbuyers[[#This Row],[Purchased Bike]]))="yes",LOWER(TRIM(tblbuyers[[#This Row],[Purchased Bike]]))="y"),"Yes","No")</f>
        <v>No</v>
      </c>
    </row>
    <row r="498" spans="1:18"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c r="O498">
        <f>COUNTBLANK(tblbuyers[Income])</f>
        <v>0</v>
      </c>
      <c r="P498" t="str">
        <f>IF(tblbuyers[[#This Row],[Age]]&lt;30,"&lt;30",IF(tblbuyers[[#This Row],[Age]]&lt;=45,"30-45",IF(tblbuyers[[#This Row],[Age]]&lt;=60,"46-60","60+")))</f>
        <v>30-45</v>
      </c>
      <c r="Q498" t="str">
        <f>IF(tblbuyers[[#This Row],[Income]]&lt;30000,"Low",IF(tblbuyers[[#This Row],[Income]]&lt;=70000,"Medium","High"))</f>
        <v>Medium</v>
      </c>
      <c r="R498" s="7" t="str">
        <f>IF(OR(LOWER(TRIM(tblbuyers[[#This Row],[Purchased Bike]]))="yes",LOWER(TRIM(tblbuyers[[#This Row],[Purchased Bike]]))="y"),"Yes","No")</f>
        <v>Yes</v>
      </c>
    </row>
    <row r="499" spans="1:18"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c r="O499">
        <f>COUNTBLANK(tblbuyers[Income])</f>
        <v>0</v>
      </c>
      <c r="P499" t="str">
        <f>IF(tblbuyers[[#This Row],[Age]]&lt;30,"&lt;30",IF(tblbuyers[[#This Row],[Age]]&lt;=45,"30-45",IF(tblbuyers[[#This Row],[Age]]&lt;=60,"46-60","60+")))</f>
        <v>30-45</v>
      </c>
      <c r="Q499" t="str">
        <f>IF(tblbuyers[[#This Row],[Income]]&lt;30000,"Low",IF(tblbuyers[[#This Row],[Income]]&lt;=70000,"Medium","High"))</f>
        <v>Medium</v>
      </c>
      <c r="R499" s="7" t="str">
        <f>IF(OR(LOWER(TRIM(tblbuyers[[#This Row],[Purchased Bike]]))="yes",LOWER(TRIM(tblbuyers[[#This Row],[Purchased Bike]]))="y"),"Yes","No")</f>
        <v>Yes</v>
      </c>
    </row>
    <row r="500" spans="1:18"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c r="O500">
        <f>COUNTBLANK(tblbuyers[Income])</f>
        <v>0</v>
      </c>
      <c r="P500" t="str">
        <f>IF(tblbuyers[[#This Row],[Age]]&lt;30,"&lt;30",IF(tblbuyers[[#This Row],[Age]]&lt;=45,"30-45",IF(tblbuyers[[#This Row],[Age]]&lt;=60,"46-60","60+")))</f>
        <v>46-60</v>
      </c>
      <c r="Q500" t="str">
        <f>IF(tblbuyers[[#This Row],[Income]]&lt;30000,"Low",IF(tblbuyers[[#This Row],[Income]]&lt;=70000,"Medium","High"))</f>
        <v>High</v>
      </c>
      <c r="R500" s="7" t="str">
        <f>IF(OR(LOWER(TRIM(tblbuyers[[#This Row],[Purchased Bike]]))="yes",LOWER(TRIM(tblbuyers[[#This Row],[Purchased Bike]]))="y"),"Yes","No")</f>
        <v>Yes</v>
      </c>
    </row>
    <row r="501" spans="1:18"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c r="O501">
        <f>COUNTBLANK(tblbuyers[Income])</f>
        <v>0</v>
      </c>
      <c r="P501" t="str">
        <f>IF(tblbuyers[[#This Row],[Age]]&lt;30,"&lt;30",IF(tblbuyers[[#This Row],[Age]]&lt;=45,"30-45",IF(tblbuyers[[#This Row],[Age]]&lt;=60,"46-60","60+")))</f>
        <v>30-45</v>
      </c>
      <c r="Q501" t="str">
        <f>IF(tblbuyers[[#This Row],[Income]]&lt;30000,"Low",IF(tblbuyers[[#This Row],[Income]]&lt;=70000,"Medium","High"))</f>
        <v>Medium</v>
      </c>
      <c r="R501" s="7" t="str">
        <f>IF(OR(LOWER(TRIM(tblbuyers[[#This Row],[Purchased Bike]]))="yes",LOWER(TRIM(tblbuyers[[#This Row],[Purchased Bike]]))="y"),"Yes","No")</f>
        <v>Yes</v>
      </c>
    </row>
    <row r="502" spans="1:18"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c r="O502">
        <f>COUNTBLANK(tblbuyers[Income])</f>
        <v>0</v>
      </c>
      <c r="P502" t="str">
        <f>IF(tblbuyers[[#This Row],[Age]]&lt;30,"&lt;30",IF(tblbuyers[[#This Row],[Age]]&lt;=45,"30-45",IF(tblbuyers[[#This Row],[Age]]&lt;=60,"46-60","60+")))</f>
        <v>46-60</v>
      </c>
      <c r="Q502" t="str">
        <f>IF(tblbuyers[[#This Row],[Income]]&lt;30000,"Low",IF(tblbuyers[[#This Row],[Income]]&lt;=70000,"Medium","High"))</f>
        <v>Medium</v>
      </c>
      <c r="R502" s="7" t="str">
        <f>IF(OR(LOWER(TRIM(tblbuyers[[#This Row],[Purchased Bike]]))="yes",LOWER(TRIM(tblbuyers[[#This Row],[Purchased Bike]]))="y"),"Yes","No")</f>
        <v>No</v>
      </c>
    </row>
    <row r="503" spans="1:18"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c r="O503">
        <f>COUNTBLANK(tblbuyers[Income])</f>
        <v>0</v>
      </c>
      <c r="P503" t="str">
        <f>IF(tblbuyers[[#This Row],[Age]]&lt;30,"&lt;30",IF(tblbuyers[[#This Row],[Age]]&lt;=45,"30-45",IF(tblbuyers[[#This Row],[Age]]&lt;=60,"46-60","60+")))</f>
        <v>30-45</v>
      </c>
      <c r="Q503" t="str">
        <f>IF(tblbuyers[[#This Row],[Income]]&lt;30000,"Low",IF(tblbuyers[[#This Row],[Income]]&lt;=70000,"Medium","High"))</f>
        <v>Medium</v>
      </c>
      <c r="R503" s="7" t="str">
        <f>IF(OR(LOWER(TRIM(tblbuyers[[#This Row],[Purchased Bike]]))="yes",LOWER(TRIM(tblbuyers[[#This Row],[Purchased Bike]]))="y"),"Yes","No")</f>
        <v>No</v>
      </c>
    </row>
    <row r="504" spans="1:18"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c r="O504">
        <f>COUNTBLANK(tblbuyers[Income])</f>
        <v>0</v>
      </c>
      <c r="P504" t="str">
        <f>IF(tblbuyers[[#This Row],[Age]]&lt;30,"&lt;30",IF(tblbuyers[[#This Row],[Age]]&lt;=45,"30-45",IF(tblbuyers[[#This Row],[Age]]&lt;=60,"46-60","60+")))</f>
        <v>&lt;30</v>
      </c>
      <c r="Q504" t="str">
        <f>IF(tblbuyers[[#This Row],[Income]]&lt;30000,"Low",IF(tblbuyers[[#This Row],[Income]]&lt;=70000,"Medium","High"))</f>
        <v>Medium</v>
      </c>
      <c r="R504" s="7" t="str">
        <f>IF(OR(LOWER(TRIM(tblbuyers[[#This Row],[Purchased Bike]]))="yes",LOWER(TRIM(tblbuyers[[#This Row],[Purchased Bike]]))="y"),"Yes","No")</f>
        <v>No</v>
      </c>
    </row>
    <row r="505" spans="1:18"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c r="O505">
        <f>COUNTBLANK(tblbuyers[Income])</f>
        <v>0</v>
      </c>
      <c r="P505" t="str">
        <f>IF(tblbuyers[[#This Row],[Age]]&lt;30,"&lt;30",IF(tblbuyers[[#This Row],[Age]]&lt;=45,"30-45",IF(tblbuyers[[#This Row],[Age]]&lt;=60,"46-60","60+")))</f>
        <v>30-45</v>
      </c>
      <c r="Q505" t="str">
        <f>IF(tblbuyers[[#This Row],[Income]]&lt;30000,"Low",IF(tblbuyers[[#This Row],[Income]]&lt;=70000,"Medium","High"))</f>
        <v>High</v>
      </c>
      <c r="R505" s="7" t="str">
        <f>IF(OR(LOWER(TRIM(tblbuyers[[#This Row],[Purchased Bike]]))="yes",LOWER(TRIM(tblbuyers[[#This Row],[Purchased Bike]]))="y"),"Yes","No")</f>
        <v>Yes</v>
      </c>
    </row>
    <row r="506" spans="1:18"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c r="O506">
        <f>COUNTBLANK(tblbuyers[Income])</f>
        <v>0</v>
      </c>
      <c r="P506" t="str">
        <f>IF(tblbuyers[[#This Row],[Age]]&lt;30,"&lt;30",IF(tblbuyers[[#This Row],[Age]]&lt;=45,"30-45",IF(tblbuyers[[#This Row],[Age]]&lt;=60,"46-60","60+")))</f>
        <v>30-45</v>
      </c>
      <c r="Q506" t="str">
        <f>IF(tblbuyers[[#This Row],[Income]]&lt;30000,"Low",IF(tblbuyers[[#This Row],[Income]]&lt;=70000,"Medium","High"))</f>
        <v>Medium</v>
      </c>
      <c r="R506" s="7" t="str">
        <f>IF(OR(LOWER(TRIM(tblbuyers[[#This Row],[Purchased Bike]]))="yes",LOWER(TRIM(tblbuyers[[#This Row],[Purchased Bike]]))="y"),"Yes","No")</f>
        <v>Yes</v>
      </c>
    </row>
    <row r="507" spans="1:18"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c r="O507">
        <f>COUNTBLANK(tblbuyers[Income])</f>
        <v>0</v>
      </c>
      <c r="P507" t="str">
        <f>IF(tblbuyers[[#This Row],[Age]]&lt;30,"&lt;30",IF(tblbuyers[[#This Row],[Age]]&lt;=45,"30-45",IF(tblbuyers[[#This Row],[Age]]&lt;=60,"46-60","60+")))</f>
        <v>30-45</v>
      </c>
      <c r="Q507" t="str">
        <f>IF(tblbuyers[[#This Row],[Income]]&lt;30000,"Low",IF(tblbuyers[[#This Row],[Income]]&lt;=70000,"Medium","High"))</f>
        <v>High</v>
      </c>
      <c r="R507" s="7" t="str">
        <f>IF(OR(LOWER(TRIM(tblbuyers[[#This Row],[Purchased Bike]]))="yes",LOWER(TRIM(tblbuyers[[#This Row],[Purchased Bike]]))="y"),"Yes","No")</f>
        <v>No</v>
      </c>
    </row>
    <row r="508" spans="1:18"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c r="O508">
        <f>COUNTBLANK(tblbuyers[Income])</f>
        <v>0</v>
      </c>
      <c r="P508" t="str">
        <f>IF(tblbuyers[[#This Row],[Age]]&lt;30,"&lt;30",IF(tblbuyers[[#This Row],[Age]]&lt;=45,"30-45",IF(tblbuyers[[#This Row],[Age]]&lt;=60,"46-60","60+")))</f>
        <v>30-45</v>
      </c>
      <c r="Q508" t="str">
        <f>IF(tblbuyers[[#This Row],[Income]]&lt;30000,"Low",IF(tblbuyers[[#This Row],[Income]]&lt;=70000,"Medium","High"))</f>
        <v>Medium</v>
      </c>
      <c r="R508" s="7" t="str">
        <f>IF(OR(LOWER(TRIM(tblbuyers[[#This Row],[Purchased Bike]]))="yes",LOWER(TRIM(tblbuyers[[#This Row],[Purchased Bike]]))="y"),"Yes","No")</f>
        <v>Yes</v>
      </c>
    </row>
    <row r="509" spans="1:18"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c r="O509">
        <f>COUNTBLANK(tblbuyers[Income])</f>
        <v>0</v>
      </c>
      <c r="P509" t="str">
        <f>IF(tblbuyers[[#This Row],[Age]]&lt;30,"&lt;30",IF(tblbuyers[[#This Row],[Age]]&lt;=45,"30-45",IF(tblbuyers[[#This Row],[Age]]&lt;=60,"46-60","60+")))</f>
        <v>46-60</v>
      </c>
      <c r="Q509" t="str">
        <f>IF(tblbuyers[[#This Row],[Income]]&lt;30000,"Low",IF(tblbuyers[[#This Row],[Income]]&lt;=70000,"Medium","High"))</f>
        <v>Medium</v>
      </c>
      <c r="R509" s="7" t="str">
        <f>IF(OR(LOWER(TRIM(tblbuyers[[#This Row],[Purchased Bike]]))="yes",LOWER(TRIM(tblbuyers[[#This Row],[Purchased Bike]]))="y"),"Yes","No")</f>
        <v>Yes</v>
      </c>
    </row>
    <row r="510" spans="1:18"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c r="O510">
        <f>COUNTBLANK(tblbuyers[Income])</f>
        <v>0</v>
      </c>
      <c r="P510" t="str">
        <f>IF(tblbuyers[[#This Row],[Age]]&lt;30,"&lt;30",IF(tblbuyers[[#This Row],[Age]]&lt;=45,"30-45",IF(tblbuyers[[#This Row],[Age]]&lt;=60,"46-60","60+")))</f>
        <v>&lt;30</v>
      </c>
      <c r="Q510" t="str">
        <f>IF(tblbuyers[[#This Row],[Income]]&lt;30000,"Low",IF(tblbuyers[[#This Row],[Income]]&lt;=70000,"Medium","High"))</f>
        <v>Medium</v>
      </c>
      <c r="R510" s="7" t="str">
        <f>IF(OR(LOWER(TRIM(tblbuyers[[#This Row],[Purchased Bike]]))="yes",LOWER(TRIM(tblbuyers[[#This Row],[Purchased Bike]]))="y"),"Yes","No")</f>
        <v>No</v>
      </c>
    </row>
    <row r="511" spans="1:18"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c r="O511">
        <f>COUNTBLANK(tblbuyers[Income])</f>
        <v>0</v>
      </c>
      <c r="P511" t="str">
        <f>IF(tblbuyers[[#This Row],[Age]]&lt;30,"&lt;30",IF(tblbuyers[[#This Row],[Age]]&lt;=45,"30-45",IF(tblbuyers[[#This Row],[Age]]&lt;=60,"46-60","60+")))</f>
        <v>46-60</v>
      </c>
      <c r="Q511" t="str">
        <f>IF(tblbuyers[[#This Row],[Income]]&lt;30000,"Low",IF(tblbuyers[[#This Row],[Income]]&lt;=70000,"Medium","High"))</f>
        <v>High</v>
      </c>
      <c r="R511" s="7" t="str">
        <f>IF(OR(LOWER(TRIM(tblbuyers[[#This Row],[Purchased Bike]]))="yes",LOWER(TRIM(tblbuyers[[#This Row],[Purchased Bike]]))="y"),"Yes","No")</f>
        <v>Yes</v>
      </c>
    </row>
    <row r="512" spans="1:18"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c r="O512">
        <f>COUNTBLANK(tblbuyers[Income])</f>
        <v>0</v>
      </c>
      <c r="P512" t="str">
        <f>IF(tblbuyers[[#This Row],[Age]]&lt;30,"&lt;30",IF(tblbuyers[[#This Row],[Age]]&lt;=45,"30-45",IF(tblbuyers[[#This Row],[Age]]&lt;=60,"46-60","60+")))</f>
        <v>30-45</v>
      </c>
      <c r="Q512" t="str">
        <f>IF(tblbuyers[[#This Row],[Income]]&lt;30000,"Low",IF(tblbuyers[[#This Row],[Income]]&lt;=70000,"Medium","High"))</f>
        <v>Medium</v>
      </c>
      <c r="R512" s="7" t="str">
        <f>IF(OR(LOWER(TRIM(tblbuyers[[#This Row],[Purchased Bike]]))="yes",LOWER(TRIM(tblbuyers[[#This Row],[Purchased Bike]]))="y"),"Yes","No")</f>
        <v>Yes</v>
      </c>
    </row>
    <row r="513" spans="1:18"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c r="O513">
        <f>COUNTBLANK(tblbuyers[Income])</f>
        <v>0</v>
      </c>
      <c r="P513" t="str">
        <f>IF(tblbuyers[[#This Row],[Age]]&lt;30,"&lt;30",IF(tblbuyers[[#This Row],[Age]]&lt;=45,"30-45",IF(tblbuyers[[#This Row],[Age]]&lt;=60,"46-60","60+")))</f>
        <v>60+</v>
      </c>
      <c r="Q513" t="str">
        <f>IF(tblbuyers[[#This Row],[Income]]&lt;30000,"Low",IF(tblbuyers[[#This Row],[Income]]&lt;=70000,"Medium","High"))</f>
        <v>High</v>
      </c>
      <c r="R513" s="7" t="str">
        <f>IF(OR(LOWER(TRIM(tblbuyers[[#This Row],[Purchased Bike]]))="yes",LOWER(TRIM(tblbuyers[[#This Row],[Purchased Bike]]))="y"),"Yes","No")</f>
        <v>Yes</v>
      </c>
    </row>
    <row r="514" spans="1:18"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c r="O514">
        <f>COUNTBLANK(tblbuyers[Income])</f>
        <v>0</v>
      </c>
      <c r="P514" t="str">
        <f>IF(tblbuyers[[#This Row],[Age]]&lt;30,"&lt;30",IF(tblbuyers[[#This Row],[Age]]&lt;=45,"30-45",IF(tblbuyers[[#This Row],[Age]]&lt;=60,"46-60","60+")))</f>
        <v>30-45</v>
      </c>
      <c r="Q514" t="str">
        <f>IF(tblbuyers[[#This Row],[Income]]&lt;30000,"Low",IF(tblbuyers[[#This Row],[Income]]&lt;=70000,"Medium","High"))</f>
        <v>Medium</v>
      </c>
      <c r="R514" s="7" t="str">
        <f>IF(OR(LOWER(TRIM(tblbuyers[[#This Row],[Purchased Bike]]))="yes",LOWER(TRIM(tblbuyers[[#This Row],[Purchased Bike]]))="y"),"Yes","No")</f>
        <v>Yes</v>
      </c>
    </row>
    <row r="515" spans="1:18" x14ac:dyDescent="0.25">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Age",IF(L515&lt;31, "Adolescent","Invalid")))</f>
        <v>Old</v>
      </c>
      <c r="N515" t="s">
        <v>15</v>
      </c>
      <c r="O515">
        <f>COUNTBLANK(tblbuyers[Income])</f>
        <v>0</v>
      </c>
      <c r="P515" t="str">
        <f>IF(tblbuyers[[#This Row],[Age]]&lt;30,"&lt;30",IF(tblbuyers[[#This Row],[Age]]&lt;=45,"30-45",IF(tblbuyers[[#This Row],[Age]]&lt;=60,"46-60","60+")))</f>
        <v>60+</v>
      </c>
      <c r="Q515" t="str">
        <f>IF(tblbuyers[[#This Row],[Income]]&lt;30000,"Low",IF(tblbuyers[[#This Row],[Income]]&lt;=70000,"Medium","High"))</f>
        <v>Medium</v>
      </c>
      <c r="R515" s="7" t="str">
        <f>IF(OR(LOWER(TRIM(tblbuyers[[#This Row],[Purchased Bike]]))="yes",LOWER(TRIM(tblbuyers[[#This Row],[Purchased Bike]]))="y"),"Yes","No")</f>
        <v>Yes</v>
      </c>
    </row>
    <row r="516" spans="1:18"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c r="O516">
        <f>COUNTBLANK(tblbuyers[Income])</f>
        <v>0</v>
      </c>
      <c r="P516" t="str">
        <f>IF(tblbuyers[[#This Row],[Age]]&lt;30,"&lt;30",IF(tblbuyers[[#This Row],[Age]]&lt;=45,"30-45",IF(tblbuyers[[#This Row],[Age]]&lt;=60,"46-60","60+")))</f>
        <v>30-45</v>
      </c>
      <c r="Q516" t="str">
        <f>IF(tblbuyers[[#This Row],[Income]]&lt;30000,"Low",IF(tblbuyers[[#This Row],[Income]]&lt;=70000,"Medium","High"))</f>
        <v>Medium</v>
      </c>
      <c r="R516" s="7" t="str">
        <f>IF(OR(LOWER(TRIM(tblbuyers[[#This Row],[Purchased Bike]]))="yes",LOWER(TRIM(tblbuyers[[#This Row],[Purchased Bike]]))="y"),"Yes","No")</f>
        <v>No</v>
      </c>
    </row>
    <row r="517" spans="1:18"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c r="O517">
        <f>COUNTBLANK(tblbuyers[Income])</f>
        <v>0</v>
      </c>
      <c r="P517" t="str">
        <f>IF(tblbuyers[[#This Row],[Age]]&lt;30,"&lt;30",IF(tblbuyers[[#This Row],[Age]]&lt;=45,"30-45",IF(tblbuyers[[#This Row],[Age]]&lt;=60,"46-60","60+")))</f>
        <v>46-60</v>
      </c>
      <c r="Q517" t="str">
        <f>IF(tblbuyers[[#This Row],[Income]]&lt;30000,"Low",IF(tblbuyers[[#This Row],[Income]]&lt;=70000,"Medium","High"))</f>
        <v>Medium</v>
      </c>
      <c r="R517" s="7" t="str">
        <f>IF(OR(LOWER(TRIM(tblbuyers[[#This Row],[Purchased Bike]]))="yes",LOWER(TRIM(tblbuyers[[#This Row],[Purchased Bike]]))="y"),"Yes","No")</f>
        <v>No</v>
      </c>
    </row>
    <row r="518" spans="1:18"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c r="O518">
        <f>COUNTBLANK(tblbuyers[Income])</f>
        <v>0</v>
      </c>
      <c r="P518" t="str">
        <f>IF(tblbuyers[[#This Row],[Age]]&lt;30,"&lt;30",IF(tblbuyers[[#This Row],[Age]]&lt;=45,"30-45",IF(tblbuyers[[#This Row],[Age]]&lt;=60,"46-60","60+")))</f>
        <v>46-60</v>
      </c>
      <c r="Q518" t="str">
        <f>IF(tblbuyers[[#This Row],[Income]]&lt;30000,"Low",IF(tblbuyers[[#This Row],[Income]]&lt;=70000,"Medium","High"))</f>
        <v>Medium</v>
      </c>
      <c r="R518" s="7" t="str">
        <f>IF(OR(LOWER(TRIM(tblbuyers[[#This Row],[Purchased Bike]]))="yes",LOWER(TRIM(tblbuyers[[#This Row],[Purchased Bike]]))="y"),"Yes","No")</f>
        <v>No</v>
      </c>
    </row>
    <row r="519" spans="1:18"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c r="O519">
        <f>COUNTBLANK(tblbuyers[Income])</f>
        <v>0</v>
      </c>
      <c r="P519" t="str">
        <f>IF(tblbuyers[[#This Row],[Age]]&lt;30,"&lt;30",IF(tblbuyers[[#This Row],[Age]]&lt;=45,"30-45",IF(tblbuyers[[#This Row],[Age]]&lt;=60,"46-60","60+")))</f>
        <v>46-60</v>
      </c>
      <c r="Q519" t="str">
        <f>IF(tblbuyers[[#This Row],[Income]]&lt;30000,"Low",IF(tblbuyers[[#This Row],[Income]]&lt;=70000,"Medium","High"))</f>
        <v>Medium</v>
      </c>
      <c r="R519" s="7" t="str">
        <f>IF(OR(LOWER(TRIM(tblbuyers[[#This Row],[Purchased Bike]]))="yes",LOWER(TRIM(tblbuyers[[#This Row],[Purchased Bike]]))="y"),"Yes","No")</f>
        <v>Yes</v>
      </c>
    </row>
    <row r="520" spans="1:18"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c r="O520">
        <f>COUNTBLANK(tblbuyers[Income])</f>
        <v>0</v>
      </c>
      <c r="P520" t="str">
        <f>IF(tblbuyers[[#This Row],[Age]]&lt;30,"&lt;30",IF(tblbuyers[[#This Row],[Age]]&lt;=45,"30-45",IF(tblbuyers[[#This Row],[Age]]&lt;=60,"46-60","60+")))</f>
        <v>30-45</v>
      </c>
      <c r="Q520" t="str">
        <f>IF(tblbuyers[[#This Row],[Income]]&lt;30000,"Low",IF(tblbuyers[[#This Row],[Income]]&lt;=70000,"Medium","High"))</f>
        <v>High</v>
      </c>
      <c r="R520" s="7" t="str">
        <f>IF(OR(LOWER(TRIM(tblbuyers[[#This Row],[Purchased Bike]]))="yes",LOWER(TRIM(tblbuyers[[#This Row],[Purchased Bike]]))="y"),"Yes","No")</f>
        <v>Yes</v>
      </c>
    </row>
    <row r="521" spans="1:18"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c r="O521">
        <f>COUNTBLANK(tblbuyers[Income])</f>
        <v>0</v>
      </c>
      <c r="P521" t="str">
        <f>IF(tblbuyers[[#This Row],[Age]]&lt;30,"&lt;30",IF(tblbuyers[[#This Row],[Age]]&lt;=45,"30-45",IF(tblbuyers[[#This Row],[Age]]&lt;=60,"46-60","60+")))</f>
        <v>60+</v>
      </c>
      <c r="Q521" t="str">
        <f>IF(tblbuyers[[#This Row],[Income]]&lt;30000,"Low",IF(tblbuyers[[#This Row],[Income]]&lt;=70000,"Medium","High"))</f>
        <v>High</v>
      </c>
      <c r="R521" s="7" t="str">
        <f>IF(OR(LOWER(TRIM(tblbuyers[[#This Row],[Purchased Bike]]))="yes",LOWER(TRIM(tblbuyers[[#This Row],[Purchased Bike]]))="y"),"Yes","No")</f>
        <v>No</v>
      </c>
    </row>
    <row r="522" spans="1:18"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c r="O522">
        <f>COUNTBLANK(tblbuyers[Income])</f>
        <v>0</v>
      </c>
      <c r="P522" t="str">
        <f>IF(tblbuyers[[#This Row],[Age]]&lt;30,"&lt;30",IF(tblbuyers[[#This Row],[Age]]&lt;=45,"30-45",IF(tblbuyers[[#This Row],[Age]]&lt;=60,"46-60","60+")))</f>
        <v>30-45</v>
      </c>
      <c r="Q522" t="str">
        <f>IF(tblbuyers[[#This Row],[Income]]&lt;30000,"Low",IF(tblbuyers[[#This Row],[Income]]&lt;=70000,"Medium","High"))</f>
        <v>High</v>
      </c>
      <c r="R522" s="7" t="str">
        <f>IF(OR(LOWER(TRIM(tblbuyers[[#This Row],[Purchased Bike]]))="yes",LOWER(TRIM(tblbuyers[[#This Row],[Purchased Bike]]))="y"),"Yes","No")</f>
        <v>No</v>
      </c>
    </row>
    <row r="523" spans="1:18"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c r="O523">
        <f>COUNTBLANK(tblbuyers[Income])</f>
        <v>0</v>
      </c>
      <c r="P523" t="str">
        <f>IF(tblbuyers[[#This Row],[Age]]&lt;30,"&lt;30",IF(tblbuyers[[#This Row],[Age]]&lt;=45,"30-45",IF(tblbuyers[[#This Row],[Age]]&lt;=60,"46-60","60+")))</f>
        <v>60+</v>
      </c>
      <c r="Q523" t="str">
        <f>IF(tblbuyers[[#This Row],[Income]]&lt;30000,"Low",IF(tblbuyers[[#This Row],[Income]]&lt;=70000,"Medium","High"))</f>
        <v>Medium</v>
      </c>
      <c r="R523" s="7" t="str">
        <f>IF(OR(LOWER(TRIM(tblbuyers[[#This Row],[Purchased Bike]]))="yes",LOWER(TRIM(tblbuyers[[#This Row],[Purchased Bike]]))="y"),"Yes","No")</f>
        <v>Yes</v>
      </c>
    </row>
    <row r="524" spans="1:18"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c r="O524">
        <f>COUNTBLANK(tblbuyers[Income])</f>
        <v>0</v>
      </c>
      <c r="P524" t="str">
        <f>IF(tblbuyers[[#This Row],[Age]]&lt;30,"&lt;30",IF(tblbuyers[[#This Row],[Age]]&lt;=45,"30-45",IF(tblbuyers[[#This Row],[Age]]&lt;=60,"46-60","60+")))</f>
        <v>46-60</v>
      </c>
      <c r="Q524" t="str">
        <f>IF(tblbuyers[[#This Row],[Income]]&lt;30000,"Low",IF(tblbuyers[[#This Row],[Income]]&lt;=70000,"Medium","High"))</f>
        <v>Medium</v>
      </c>
      <c r="R524" s="7" t="str">
        <f>IF(OR(LOWER(TRIM(tblbuyers[[#This Row],[Purchased Bike]]))="yes",LOWER(TRIM(tblbuyers[[#This Row],[Purchased Bike]]))="y"),"Yes","No")</f>
        <v>Yes</v>
      </c>
    </row>
    <row r="525" spans="1:18"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c r="O525">
        <f>COUNTBLANK(tblbuyers[Income])</f>
        <v>0</v>
      </c>
      <c r="P525" t="str">
        <f>IF(tblbuyers[[#This Row],[Age]]&lt;30,"&lt;30",IF(tblbuyers[[#This Row],[Age]]&lt;=45,"30-45",IF(tblbuyers[[#This Row],[Age]]&lt;=60,"46-60","60+")))</f>
        <v>46-60</v>
      </c>
      <c r="Q525" t="str">
        <f>IF(tblbuyers[[#This Row],[Income]]&lt;30000,"Low",IF(tblbuyers[[#This Row],[Income]]&lt;=70000,"Medium","High"))</f>
        <v>High</v>
      </c>
      <c r="R525" s="7" t="str">
        <f>IF(OR(LOWER(TRIM(tblbuyers[[#This Row],[Purchased Bike]]))="yes",LOWER(TRIM(tblbuyers[[#This Row],[Purchased Bike]]))="y"),"Yes","No")</f>
        <v>Yes</v>
      </c>
    </row>
    <row r="526" spans="1:18"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c r="O526">
        <f>COUNTBLANK(tblbuyers[Income])</f>
        <v>0</v>
      </c>
      <c r="P526" t="str">
        <f>IF(tblbuyers[[#This Row],[Age]]&lt;30,"&lt;30",IF(tblbuyers[[#This Row],[Age]]&lt;=45,"30-45",IF(tblbuyers[[#This Row],[Age]]&lt;=60,"46-60","60+")))</f>
        <v>60+</v>
      </c>
      <c r="Q526" t="str">
        <f>IF(tblbuyers[[#This Row],[Income]]&lt;30000,"Low",IF(tblbuyers[[#This Row],[Income]]&lt;=70000,"Medium","High"))</f>
        <v>High</v>
      </c>
      <c r="R526" s="7" t="str">
        <f>IF(OR(LOWER(TRIM(tblbuyers[[#This Row],[Purchased Bike]]))="yes",LOWER(TRIM(tblbuyers[[#This Row],[Purchased Bike]]))="y"),"Yes","No")</f>
        <v>No</v>
      </c>
    </row>
    <row r="527" spans="1:18"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c r="O527">
        <f>COUNTBLANK(tblbuyers[Income])</f>
        <v>0</v>
      </c>
      <c r="P527" t="str">
        <f>IF(tblbuyers[[#This Row],[Age]]&lt;30,"&lt;30",IF(tblbuyers[[#This Row],[Age]]&lt;=45,"30-45",IF(tblbuyers[[#This Row],[Age]]&lt;=60,"46-60","60+")))</f>
        <v>46-60</v>
      </c>
      <c r="Q527" t="str">
        <f>IF(tblbuyers[[#This Row],[Income]]&lt;30000,"Low",IF(tblbuyers[[#This Row],[Income]]&lt;=70000,"Medium","High"))</f>
        <v>Medium</v>
      </c>
      <c r="R527" s="7" t="str">
        <f>IF(OR(LOWER(TRIM(tblbuyers[[#This Row],[Purchased Bike]]))="yes",LOWER(TRIM(tblbuyers[[#This Row],[Purchased Bike]]))="y"),"Yes","No")</f>
        <v>Yes</v>
      </c>
    </row>
    <row r="528" spans="1:18"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c r="O528">
        <f>COUNTBLANK(tblbuyers[Income])</f>
        <v>0</v>
      </c>
      <c r="P528" t="str">
        <f>IF(tblbuyers[[#This Row],[Age]]&lt;30,"&lt;30",IF(tblbuyers[[#This Row],[Age]]&lt;=45,"30-45",IF(tblbuyers[[#This Row],[Age]]&lt;=60,"46-60","60+")))</f>
        <v>30-45</v>
      </c>
      <c r="Q528" t="str">
        <f>IF(tblbuyers[[#This Row],[Income]]&lt;30000,"Low",IF(tblbuyers[[#This Row],[Income]]&lt;=70000,"Medium","High"))</f>
        <v>High</v>
      </c>
      <c r="R528" s="7" t="str">
        <f>IF(OR(LOWER(TRIM(tblbuyers[[#This Row],[Purchased Bike]]))="yes",LOWER(TRIM(tblbuyers[[#This Row],[Purchased Bike]]))="y"),"Yes","No")</f>
        <v>No</v>
      </c>
    </row>
    <row r="529" spans="1:18"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c r="O529">
        <f>COUNTBLANK(tblbuyers[Income])</f>
        <v>0</v>
      </c>
      <c r="P529" t="str">
        <f>IF(tblbuyers[[#This Row],[Age]]&lt;30,"&lt;30",IF(tblbuyers[[#This Row],[Age]]&lt;=45,"30-45",IF(tblbuyers[[#This Row],[Age]]&lt;=60,"46-60","60+")))</f>
        <v>30-45</v>
      </c>
      <c r="Q529" t="str">
        <f>IF(tblbuyers[[#This Row],[Income]]&lt;30000,"Low",IF(tblbuyers[[#This Row],[Income]]&lt;=70000,"Medium","High"))</f>
        <v>Medium</v>
      </c>
      <c r="R529" s="7" t="str">
        <f>IF(OR(LOWER(TRIM(tblbuyers[[#This Row],[Purchased Bike]]))="yes",LOWER(TRIM(tblbuyers[[#This Row],[Purchased Bike]]))="y"),"Yes","No")</f>
        <v>No</v>
      </c>
    </row>
    <row r="530" spans="1:18"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c r="O530">
        <f>COUNTBLANK(tblbuyers[Income])</f>
        <v>0</v>
      </c>
      <c r="P530" t="str">
        <f>IF(tblbuyers[[#This Row],[Age]]&lt;30,"&lt;30",IF(tblbuyers[[#This Row],[Age]]&lt;=45,"30-45",IF(tblbuyers[[#This Row],[Age]]&lt;=60,"46-60","60+")))</f>
        <v>&lt;30</v>
      </c>
      <c r="Q530" t="str">
        <f>IF(tblbuyers[[#This Row],[Income]]&lt;30000,"Low",IF(tblbuyers[[#This Row],[Income]]&lt;=70000,"Medium","High"))</f>
        <v>Medium</v>
      </c>
      <c r="R530" s="7" t="str">
        <f>IF(OR(LOWER(TRIM(tblbuyers[[#This Row],[Purchased Bike]]))="yes",LOWER(TRIM(tblbuyers[[#This Row],[Purchased Bike]]))="y"),"Yes","No")</f>
        <v>No</v>
      </c>
    </row>
    <row r="531" spans="1:18"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c r="O531">
        <f>COUNTBLANK(tblbuyers[Income])</f>
        <v>0</v>
      </c>
      <c r="P531" t="str">
        <f>IF(tblbuyers[[#This Row],[Age]]&lt;30,"&lt;30",IF(tblbuyers[[#This Row],[Age]]&lt;=45,"30-45",IF(tblbuyers[[#This Row],[Age]]&lt;=60,"46-60","60+")))</f>
        <v>46-60</v>
      </c>
      <c r="Q531" t="str">
        <f>IF(tblbuyers[[#This Row],[Income]]&lt;30000,"Low",IF(tblbuyers[[#This Row],[Income]]&lt;=70000,"Medium","High"))</f>
        <v>Medium</v>
      </c>
      <c r="R531" s="7" t="str">
        <f>IF(OR(LOWER(TRIM(tblbuyers[[#This Row],[Purchased Bike]]))="yes",LOWER(TRIM(tblbuyers[[#This Row],[Purchased Bike]]))="y"),"Yes","No")</f>
        <v>Yes</v>
      </c>
    </row>
    <row r="532" spans="1:18"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c r="O532">
        <f>COUNTBLANK(tblbuyers[Income])</f>
        <v>0</v>
      </c>
      <c r="P532" t="str">
        <f>IF(tblbuyers[[#This Row],[Age]]&lt;30,"&lt;30",IF(tblbuyers[[#This Row],[Age]]&lt;=45,"30-45",IF(tblbuyers[[#This Row],[Age]]&lt;=60,"46-60","60+")))</f>
        <v>&lt;30</v>
      </c>
      <c r="Q532" t="str">
        <f>IF(tblbuyers[[#This Row],[Income]]&lt;30000,"Low",IF(tblbuyers[[#This Row],[Income]]&lt;=70000,"Medium","High"))</f>
        <v>Medium</v>
      </c>
      <c r="R532" s="7" t="str">
        <f>IF(OR(LOWER(TRIM(tblbuyers[[#This Row],[Purchased Bike]]))="yes",LOWER(TRIM(tblbuyers[[#This Row],[Purchased Bike]]))="y"),"Yes","No")</f>
        <v>Yes</v>
      </c>
    </row>
    <row r="533" spans="1:18"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c r="O533">
        <f>COUNTBLANK(tblbuyers[Income])</f>
        <v>0</v>
      </c>
      <c r="P533" t="str">
        <f>IF(tblbuyers[[#This Row],[Age]]&lt;30,"&lt;30",IF(tblbuyers[[#This Row],[Age]]&lt;=45,"30-45",IF(tblbuyers[[#This Row],[Age]]&lt;=60,"46-60","60+")))</f>
        <v>&lt;30</v>
      </c>
      <c r="Q533" t="str">
        <f>IF(tblbuyers[[#This Row],[Income]]&lt;30000,"Low",IF(tblbuyers[[#This Row],[Income]]&lt;=70000,"Medium","High"))</f>
        <v>Medium</v>
      </c>
      <c r="R533" s="7" t="str">
        <f>IF(OR(LOWER(TRIM(tblbuyers[[#This Row],[Purchased Bike]]))="yes",LOWER(TRIM(tblbuyers[[#This Row],[Purchased Bike]]))="y"),"Yes","No")</f>
        <v>No</v>
      </c>
    </row>
    <row r="534" spans="1:18"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c r="O534">
        <f>COUNTBLANK(tblbuyers[Income])</f>
        <v>0</v>
      </c>
      <c r="P534" t="str">
        <f>IF(tblbuyers[[#This Row],[Age]]&lt;30,"&lt;30",IF(tblbuyers[[#This Row],[Age]]&lt;=45,"30-45",IF(tblbuyers[[#This Row],[Age]]&lt;=60,"46-60","60+")))</f>
        <v>30-45</v>
      </c>
      <c r="Q534" t="str">
        <f>IF(tblbuyers[[#This Row],[Income]]&lt;30000,"Low",IF(tblbuyers[[#This Row],[Income]]&lt;=70000,"Medium","High"))</f>
        <v>Medium</v>
      </c>
      <c r="R534" s="7" t="str">
        <f>IF(OR(LOWER(TRIM(tblbuyers[[#This Row],[Purchased Bike]]))="yes",LOWER(TRIM(tblbuyers[[#This Row],[Purchased Bike]]))="y"),"Yes","No")</f>
        <v>Yes</v>
      </c>
    </row>
    <row r="535" spans="1:18"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c r="O535">
        <f>COUNTBLANK(tblbuyers[Income])</f>
        <v>0</v>
      </c>
      <c r="P535" t="str">
        <f>IF(tblbuyers[[#This Row],[Age]]&lt;30,"&lt;30",IF(tblbuyers[[#This Row],[Age]]&lt;=45,"30-45",IF(tblbuyers[[#This Row],[Age]]&lt;=60,"46-60","60+")))</f>
        <v>60+</v>
      </c>
      <c r="Q535" t="str">
        <f>IF(tblbuyers[[#This Row],[Income]]&lt;30000,"Low",IF(tblbuyers[[#This Row],[Income]]&lt;=70000,"Medium","High"))</f>
        <v>Medium</v>
      </c>
      <c r="R535" s="7" t="str">
        <f>IF(OR(LOWER(TRIM(tblbuyers[[#This Row],[Purchased Bike]]))="yes",LOWER(TRIM(tblbuyers[[#This Row],[Purchased Bike]]))="y"),"Yes","No")</f>
        <v>No</v>
      </c>
    </row>
    <row r="536" spans="1:18"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c r="O536">
        <f>COUNTBLANK(tblbuyers[Income])</f>
        <v>0</v>
      </c>
      <c r="P536" t="str">
        <f>IF(tblbuyers[[#This Row],[Age]]&lt;30,"&lt;30",IF(tblbuyers[[#This Row],[Age]]&lt;=45,"30-45",IF(tblbuyers[[#This Row],[Age]]&lt;=60,"46-60","60+")))</f>
        <v>60+</v>
      </c>
      <c r="Q536" t="str">
        <f>IF(tblbuyers[[#This Row],[Income]]&lt;30000,"Low",IF(tblbuyers[[#This Row],[Income]]&lt;=70000,"Medium","High"))</f>
        <v>Medium</v>
      </c>
      <c r="R536" s="7" t="str">
        <f>IF(OR(LOWER(TRIM(tblbuyers[[#This Row],[Purchased Bike]]))="yes",LOWER(TRIM(tblbuyers[[#This Row],[Purchased Bike]]))="y"),"Yes","No")</f>
        <v>No</v>
      </c>
    </row>
    <row r="537" spans="1:18" x14ac:dyDescent="0.25">
      <c r="A537">
        <v>23893</v>
      </c>
      <c r="B537" t="s">
        <v>36</v>
      </c>
      <c r="C537" t="s">
        <v>39</v>
      </c>
      <c r="D537" s="3">
        <v>50000</v>
      </c>
      <c r="E537">
        <v>3</v>
      </c>
      <c r="F537" t="s">
        <v>13</v>
      </c>
      <c r="G537" t="s">
        <v>14</v>
      </c>
      <c r="H537" t="s">
        <v>15</v>
      </c>
      <c r="I537">
        <v>3</v>
      </c>
      <c r="J537" t="s">
        <v>30</v>
      </c>
      <c r="K537" t="s">
        <v>32</v>
      </c>
      <c r="L537">
        <v>41</v>
      </c>
      <c r="M537" t="str">
        <f t="shared" si="8"/>
        <v>Middle Age</v>
      </c>
      <c r="N537" t="s">
        <v>18</v>
      </c>
      <c r="O537">
        <f>COUNTBLANK(tblbuyers[Income])</f>
        <v>0</v>
      </c>
      <c r="P537" t="str">
        <f>IF(tblbuyers[[#This Row],[Age]]&lt;30,"&lt;30",IF(tblbuyers[[#This Row],[Age]]&lt;=45,"30-45",IF(tblbuyers[[#This Row],[Age]]&lt;=60,"46-60","60+")))</f>
        <v>30-45</v>
      </c>
      <c r="Q537" t="str">
        <f>IF(tblbuyers[[#This Row],[Income]]&lt;30000,"Low",IF(tblbuyers[[#This Row],[Income]]&lt;=70000,"Medium","High"))</f>
        <v>Medium</v>
      </c>
      <c r="R537" s="7" t="str">
        <f>IF(OR(LOWER(TRIM(tblbuyers[[#This Row],[Purchased Bike]]))="yes",LOWER(TRIM(tblbuyers[[#This Row],[Purchased Bike]]))="y"),"Yes","No")</f>
        <v>No</v>
      </c>
    </row>
    <row r="538" spans="1:18"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c r="O538">
        <f>COUNTBLANK(tblbuyers[Income])</f>
        <v>0</v>
      </c>
      <c r="P538" t="str">
        <f>IF(tblbuyers[[#This Row],[Age]]&lt;30,"&lt;30",IF(tblbuyers[[#This Row],[Age]]&lt;=45,"30-45",IF(tblbuyers[[#This Row],[Age]]&lt;=60,"46-60","60+")))</f>
        <v>30-45</v>
      </c>
      <c r="Q538" t="str">
        <f>IF(tblbuyers[[#This Row],[Income]]&lt;30000,"Low",IF(tblbuyers[[#This Row],[Income]]&lt;=70000,"Medium","High"))</f>
        <v>High</v>
      </c>
      <c r="R538" s="7" t="str">
        <f>IF(OR(LOWER(TRIM(tblbuyers[[#This Row],[Purchased Bike]]))="yes",LOWER(TRIM(tblbuyers[[#This Row],[Purchased Bike]]))="y"),"Yes","No")</f>
        <v>Yes</v>
      </c>
    </row>
    <row r="539" spans="1:18"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c r="O539">
        <f>COUNTBLANK(tblbuyers[Income])</f>
        <v>0</v>
      </c>
      <c r="P539" t="str">
        <f>IF(tblbuyers[[#This Row],[Age]]&lt;30,"&lt;30",IF(tblbuyers[[#This Row],[Age]]&lt;=45,"30-45",IF(tblbuyers[[#This Row],[Age]]&lt;=60,"46-60","60+")))</f>
        <v>46-60</v>
      </c>
      <c r="Q539" t="str">
        <f>IF(tblbuyers[[#This Row],[Income]]&lt;30000,"Low",IF(tblbuyers[[#This Row],[Income]]&lt;=70000,"Medium","High"))</f>
        <v>Medium</v>
      </c>
      <c r="R539" s="7" t="str">
        <f>IF(OR(LOWER(TRIM(tblbuyers[[#This Row],[Purchased Bike]]))="yes",LOWER(TRIM(tblbuyers[[#This Row],[Purchased Bike]]))="y"),"Yes","No")</f>
        <v>Yes</v>
      </c>
    </row>
    <row r="540" spans="1:18"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c r="O540">
        <f>COUNTBLANK(tblbuyers[Income])</f>
        <v>0</v>
      </c>
      <c r="P540" t="str">
        <f>IF(tblbuyers[[#This Row],[Age]]&lt;30,"&lt;30",IF(tblbuyers[[#This Row],[Age]]&lt;=45,"30-45",IF(tblbuyers[[#This Row],[Age]]&lt;=60,"46-60","60+")))</f>
        <v>30-45</v>
      </c>
      <c r="Q540" t="str">
        <f>IF(tblbuyers[[#This Row],[Income]]&lt;30000,"Low",IF(tblbuyers[[#This Row],[Income]]&lt;=70000,"Medium","High"))</f>
        <v>High</v>
      </c>
      <c r="R540" s="7" t="str">
        <f>IF(OR(LOWER(TRIM(tblbuyers[[#This Row],[Purchased Bike]]))="yes",LOWER(TRIM(tblbuyers[[#This Row],[Purchased Bike]]))="y"),"Yes","No")</f>
        <v>No</v>
      </c>
    </row>
    <row r="541" spans="1:18"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c r="O541">
        <f>COUNTBLANK(tblbuyers[Income])</f>
        <v>0</v>
      </c>
      <c r="P541" t="str">
        <f>IF(tblbuyers[[#This Row],[Age]]&lt;30,"&lt;30",IF(tblbuyers[[#This Row],[Age]]&lt;=45,"30-45",IF(tblbuyers[[#This Row],[Age]]&lt;=60,"46-60","60+")))</f>
        <v>30-45</v>
      </c>
      <c r="Q541" t="str">
        <f>IF(tblbuyers[[#This Row],[Income]]&lt;30000,"Low",IF(tblbuyers[[#This Row],[Income]]&lt;=70000,"Medium","High"))</f>
        <v>Medium</v>
      </c>
      <c r="R541" s="7" t="str">
        <f>IF(OR(LOWER(TRIM(tblbuyers[[#This Row],[Purchased Bike]]))="yes",LOWER(TRIM(tblbuyers[[#This Row],[Purchased Bike]]))="y"),"Yes","No")</f>
        <v>Yes</v>
      </c>
    </row>
    <row r="542" spans="1:18"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c r="O542">
        <f>COUNTBLANK(tblbuyers[Income])</f>
        <v>0</v>
      </c>
      <c r="P542" t="str">
        <f>IF(tblbuyers[[#This Row],[Age]]&lt;30,"&lt;30",IF(tblbuyers[[#This Row],[Age]]&lt;=45,"30-45",IF(tblbuyers[[#This Row],[Age]]&lt;=60,"46-60","60+")))</f>
        <v>46-60</v>
      </c>
      <c r="Q542" t="str">
        <f>IF(tblbuyers[[#This Row],[Income]]&lt;30000,"Low",IF(tblbuyers[[#This Row],[Income]]&lt;=70000,"Medium","High"))</f>
        <v>Medium</v>
      </c>
      <c r="R542" s="7" t="str">
        <f>IF(OR(LOWER(TRIM(tblbuyers[[#This Row],[Purchased Bike]]))="yes",LOWER(TRIM(tblbuyers[[#This Row],[Purchased Bike]]))="y"),"Yes","No")</f>
        <v>No</v>
      </c>
    </row>
    <row r="543" spans="1:18"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c r="O543">
        <f>COUNTBLANK(tblbuyers[Income])</f>
        <v>0</v>
      </c>
      <c r="P543" t="str">
        <f>IF(tblbuyers[[#This Row],[Age]]&lt;30,"&lt;30",IF(tblbuyers[[#This Row],[Age]]&lt;=45,"30-45",IF(tblbuyers[[#This Row],[Age]]&lt;=60,"46-60","60+")))</f>
        <v>30-45</v>
      </c>
      <c r="Q543" t="str">
        <f>IF(tblbuyers[[#This Row],[Income]]&lt;30000,"Low",IF(tblbuyers[[#This Row],[Income]]&lt;=70000,"Medium","High"))</f>
        <v>Medium</v>
      </c>
      <c r="R543" s="7" t="str">
        <f>IF(OR(LOWER(TRIM(tblbuyers[[#This Row],[Purchased Bike]]))="yes",LOWER(TRIM(tblbuyers[[#This Row],[Purchased Bike]]))="y"),"Yes","No")</f>
        <v>No</v>
      </c>
    </row>
    <row r="544" spans="1:18"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c r="O544">
        <f>COUNTBLANK(tblbuyers[Income])</f>
        <v>0</v>
      </c>
      <c r="P544" t="str">
        <f>IF(tblbuyers[[#This Row],[Age]]&lt;30,"&lt;30",IF(tblbuyers[[#This Row],[Age]]&lt;=45,"30-45",IF(tblbuyers[[#This Row],[Age]]&lt;=60,"46-60","60+")))</f>
        <v>&lt;30</v>
      </c>
      <c r="Q544" t="str">
        <f>IF(tblbuyers[[#This Row],[Income]]&lt;30000,"Low",IF(tblbuyers[[#This Row],[Income]]&lt;=70000,"Medium","High"))</f>
        <v>Medium</v>
      </c>
      <c r="R544" s="7" t="str">
        <f>IF(OR(LOWER(TRIM(tblbuyers[[#This Row],[Purchased Bike]]))="yes",LOWER(TRIM(tblbuyers[[#This Row],[Purchased Bike]]))="y"),"Yes","No")</f>
        <v>No</v>
      </c>
    </row>
    <row r="545" spans="1:18"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c r="O545">
        <f>COUNTBLANK(tblbuyers[Income])</f>
        <v>0</v>
      </c>
      <c r="P545" t="str">
        <f>IF(tblbuyers[[#This Row],[Age]]&lt;30,"&lt;30",IF(tblbuyers[[#This Row],[Age]]&lt;=45,"30-45",IF(tblbuyers[[#This Row],[Age]]&lt;=60,"46-60","60+")))</f>
        <v>46-60</v>
      </c>
      <c r="Q545" t="str">
        <f>IF(tblbuyers[[#This Row],[Income]]&lt;30000,"Low",IF(tblbuyers[[#This Row],[Income]]&lt;=70000,"Medium","High"))</f>
        <v>Medium</v>
      </c>
      <c r="R545" s="7" t="str">
        <f>IF(OR(LOWER(TRIM(tblbuyers[[#This Row],[Purchased Bike]]))="yes",LOWER(TRIM(tblbuyers[[#This Row],[Purchased Bike]]))="y"),"Yes","No")</f>
        <v>No</v>
      </c>
    </row>
    <row r="546" spans="1:18"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c r="O546">
        <f>COUNTBLANK(tblbuyers[Income])</f>
        <v>0</v>
      </c>
      <c r="P546" t="str">
        <f>IF(tblbuyers[[#This Row],[Age]]&lt;30,"&lt;30",IF(tblbuyers[[#This Row],[Age]]&lt;=45,"30-45",IF(tblbuyers[[#This Row],[Age]]&lt;=60,"46-60","60+")))</f>
        <v>30-45</v>
      </c>
      <c r="Q546" t="str">
        <f>IF(tblbuyers[[#This Row],[Income]]&lt;30000,"Low",IF(tblbuyers[[#This Row],[Income]]&lt;=70000,"Medium","High"))</f>
        <v>High</v>
      </c>
      <c r="R546" s="7" t="str">
        <f>IF(OR(LOWER(TRIM(tblbuyers[[#This Row],[Purchased Bike]]))="yes",LOWER(TRIM(tblbuyers[[#This Row],[Purchased Bike]]))="y"),"Yes","No")</f>
        <v>No</v>
      </c>
    </row>
    <row r="547" spans="1:18"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c r="O547">
        <f>COUNTBLANK(tblbuyers[Income])</f>
        <v>0</v>
      </c>
      <c r="P547" t="str">
        <f>IF(tblbuyers[[#This Row],[Age]]&lt;30,"&lt;30",IF(tblbuyers[[#This Row],[Age]]&lt;=45,"30-45",IF(tblbuyers[[#This Row],[Age]]&lt;=60,"46-60","60+")))</f>
        <v>&lt;30</v>
      </c>
      <c r="Q547" t="str">
        <f>IF(tblbuyers[[#This Row],[Income]]&lt;30000,"Low",IF(tblbuyers[[#This Row],[Income]]&lt;=70000,"Medium","High"))</f>
        <v>Medium</v>
      </c>
      <c r="R547" s="7" t="str">
        <f>IF(OR(LOWER(TRIM(tblbuyers[[#This Row],[Purchased Bike]]))="yes",LOWER(TRIM(tblbuyers[[#This Row],[Purchased Bike]]))="y"),"Yes","No")</f>
        <v>No</v>
      </c>
    </row>
    <row r="548" spans="1:18"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c r="O548">
        <f>COUNTBLANK(tblbuyers[Income])</f>
        <v>0</v>
      </c>
      <c r="P548" t="str">
        <f>IF(tblbuyers[[#This Row],[Age]]&lt;30,"&lt;30",IF(tblbuyers[[#This Row],[Age]]&lt;=45,"30-45",IF(tblbuyers[[#This Row],[Age]]&lt;=60,"46-60","60+")))</f>
        <v>30-45</v>
      </c>
      <c r="Q548" t="str">
        <f>IF(tblbuyers[[#This Row],[Income]]&lt;30000,"Low",IF(tblbuyers[[#This Row],[Income]]&lt;=70000,"Medium","High"))</f>
        <v>Medium</v>
      </c>
      <c r="R548" s="7" t="str">
        <f>IF(OR(LOWER(TRIM(tblbuyers[[#This Row],[Purchased Bike]]))="yes",LOWER(TRIM(tblbuyers[[#This Row],[Purchased Bike]]))="y"),"Yes","No")</f>
        <v>Yes</v>
      </c>
    </row>
    <row r="549" spans="1:18"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c r="O549">
        <f>COUNTBLANK(tblbuyers[Income])</f>
        <v>0</v>
      </c>
      <c r="P549" t="str">
        <f>IF(tblbuyers[[#This Row],[Age]]&lt;30,"&lt;30",IF(tblbuyers[[#This Row],[Age]]&lt;=45,"30-45",IF(tblbuyers[[#This Row],[Age]]&lt;=60,"46-60","60+")))</f>
        <v>46-60</v>
      </c>
      <c r="Q549" t="str">
        <f>IF(tblbuyers[[#This Row],[Income]]&lt;30000,"Low",IF(tblbuyers[[#This Row],[Income]]&lt;=70000,"Medium","High"))</f>
        <v>Medium</v>
      </c>
      <c r="R549" s="7" t="str">
        <f>IF(OR(LOWER(TRIM(tblbuyers[[#This Row],[Purchased Bike]]))="yes",LOWER(TRIM(tblbuyers[[#This Row],[Purchased Bike]]))="y"),"Yes","No")</f>
        <v>Yes</v>
      </c>
    </row>
    <row r="550" spans="1:18"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c r="O550">
        <f>COUNTBLANK(tblbuyers[Income])</f>
        <v>0</v>
      </c>
      <c r="P550" t="str">
        <f>IF(tblbuyers[[#This Row],[Age]]&lt;30,"&lt;30",IF(tblbuyers[[#This Row],[Age]]&lt;=45,"30-45",IF(tblbuyers[[#This Row],[Age]]&lt;=60,"46-60","60+")))</f>
        <v>46-60</v>
      </c>
      <c r="Q550" t="str">
        <f>IF(tblbuyers[[#This Row],[Income]]&lt;30000,"Low",IF(tblbuyers[[#This Row],[Income]]&lt;=70000,"Medium","High"))</f>
        <v>High</v>
      </c>
      <c r="R550" s="7" t="str">
        <f>IF(OR(LOWER(TRIM(tblbuyers[[#This Row],[Purchased Bike]]))="yes",LOWER(TRIM(tblbuyers[[#This Row],[Purchased Bike]]))="y"),"Yes","No")</f>
        <v>No</v>
      </c>
    </row>
    <row r="551" spans="1:18"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c r="O551">
        <f>COUNTBLANK(tblbuyers[Income])</f>
        <v>0</v>
      </c>
      <c r="P551" t="str">
        <f>IF(tblbuyers[[#This Row],[Age]]&lt;30,"&lt;30",IF(tblbuyers[[#This Row],[Age]]&lt;=45,"30-45",IF(tblbuyers[[#This Row],[Age]]&lt;=60,"46-60","60+")))</f>
        <v>30-45</v>
      </c>
      <c r="Q551" t="str">
        <f>IF(tblbuyers[[#This Row],[Income]]&lt;30000,"Low",IF(tblbuyers[[#This Row],[Income]]&lt;=70000,"Medium","High"))</f>
        <v>High</v>
      </c>
      <c r="R551" s="7" t="str">
        <f>IF(OR(LOWER(TRIM(tblbuyers[[#This Row],[Purchased Bike]]))="yes",LOWER(TRIM(tblbuyers[[#This Row],[Purchased Bike]]))="y"),"Yes","No")</f>
        <v>Yes</v>
      </c>
    </row>
    <row r="552" spans="1:18"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c r="O552">
        <f>COUNTBLANK(tblbuyers[Income])</f>
        <v>0</v>
      </c>
      <c r="P552" t="str">
        <f>IF(tblbuyers[[#This Row],[Age]]&lt;30,"&lt;30",IF(tblbuyers[[#This Row],[Age]]&lt;=45,"30-45",IF(tblbuyers[[#This Row],[Age]]&lt;=60,"46-60","60+")))</f>
        <v>30-45</v>
      </c>
      <c r="Q552" t="str">
        <f>IF(tblbuyers[[#This Row],[Income]]&lt;30000,"Low",IF(tblbuyers[[#This Row],[Income]]&lt;=70000,"Medium","High"))</f>
        <v>Medium</v>
      </c>
      <c r="R552" s="7" t="str">
        <f>IF(OR(LOWER(TRIM(tblbuyers[[#This Row],[Purchased Bike]]))="yes",LOWER(TRIM(tblbuyers[[#This Row],[Purchased Bike]]))="y"),"Yes","No")</f>
        <v>Yes</v>
      </c>
    </row>
    <row r="553" spans="1:18"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c r="O553">
        <f>COUNTBLANK(tblbuyers[Income])</f>
        <v>0</v>
      </c>
      <c r="P553" t="str">
        <f>IF(tblbuyers[[#This Row],[Age]]&lt;30,"&lt;30",IF(tblbuyers[[#This Row],[Age]]&lt;=45,"30-45",IF(tblbuyers[[#This Row],[Age]]&lt;=60,"46-60","60+")))</f>
        <v>60+</v>
      </c>
      <c r="Q553" t="str">
        <f>IF(tblbuyers[[#This Row],[Income]]&lt;30000,"Low",IF(tblbuyers[[#This Row],[Income]]&lt;=70000,"Medium","High"))</f>
        <v>Medium</v>
      </c>
      <c r="R553" s="7" t="str">
        <f>IF(OR(LOWER(TRIM(tblbuyers[[#This Row],[Purchased Bike]]))="yes",LOWER(TRIM(tblbuyers[[#This Row],[Purchased Bike]]))="y"),"Yes","No")</f>
        <v>No</v>
      </c>
    </row>
    <row r="554" spans="1:18" x14ac:dyDescent="0.25">
      <c r="A554">
        <v>14417</v>
      </c>
      <c r="B554" t="s">
        <v>37</v>
      </c>
      <c r="C554" t="s">
        <v>39</v>
      </c>
      <c r="D554" s="3">
        <v>60000</v>
      </c>
      <c r="E554">
        <v>3</v>
      </c>
      <c r="F554" t="s">
        <v>27</v>
      </c>
      <c r="G554" t="s">
        <v>21</v>
      </c>
      <c r="H554" t="s">
        <v>15</v>
      </c>
      <c r="I554">
        <v>2</v>
      </c>
      <c r="J554" t="s">
        <v>30</v>
      </c>
      <c r="K554" t="s">
        <v>32</v>
      </c>
      <c r="L554">
        <v>54</v>
      </c>
      <c r="M554" t="str">
        <f t="shared" si="8"/>
        <v>Middle Age</v>
      </c>
      <c r="N554" t="s">
        <v>15</v>
      </c>
      <c r="O554">
        <f>COUNTBLANK(tblbuyers[Income])</f>
        <v>0</v>
      </c>
      <c r="P554" t="str">
        <f>IF(tblbuyers[[#This Row],[Age]]&lt;30,"&lt;30",IF(tblbuyers[[#This Row],[Age]]&lt;=45,"30-45",IF(tblbuyers[[#This Row],[Age]]&lt;=60,"46-60","60+")))</f>
        <v>46-60</v>
      </c>
      <c r="Q554" t="str">
        <f>IF(tblbuyers[[#This Row],[Income]]&lt;30000,"Low",IF(tblbuyers[[#This Row],[Income]]&lt;=70000,"Medium","High"))</f>
        <v>Medium</v>
      </c>
      <c r="R554" s="7" t="str">
        <f>IF(OR(LOWER(TRIM(tblbuyers[[#This Row],[Purchased Bike]]))="yes",LOWER(TRIM(tblbuyers[[#This Row],[Purchased Bike]]))="y"),"Yes","No")</f>
        <v>Yes</v>
      </c>
    </row>
    <row r="555" spans="1:18"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c r="O555">
        <f>COUNTBLANK(tblbuyers[Income])</f>
        <v>0</v>
      </c>
      <c r="P555" t="str">
        <f>IF(tblbuyers[[#This Row],[Age]]&lt;30,"&lt;30",IF(tblbuyers[[#This Row],[Age]]&lt;=45,"30-45",IF(tblbuyers[[#This Row],[Age]]&lt;=60,"46-60","60+")))</f>
        <v>60+</v>
      </c>
      <c r="Q555" t="str">
        <f>IF(tblbuyers[[#This Row],[Income]]&lt;30000,"Low",IF(tblbuyers[[#This Row],[Income]]&lt;=70000,"Medium","High"))</f>
        <v>Medium</v>
      </c>
      <c r="R555" s="7" t="str">
        <f>IF(OR(LOWER(TRIM(tblbuyers[[#This Row],[Purchased Bike]]))="yes",LOWER(TRIM(tblbuyers[[#This Row],[Purchased Bike]]))="y"),"Yes","No")</f>
        <v>Yes</v>
      </c>
    </row>
    <row r="556" spans="1:18"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c r="O556">
        <f>COUNTBLANK(tblbuyers[Income])</f>
        <v>0</v>
      </c>
      <c r="P556" t="str">
        <f>IF(tblbuyers[[#This Row],[Age]]&lt;30,"&lt;30",IF(tblbuyers[[#This Row],[Age]]&lt;=45,"30-45",IF(tblbuyers[[#This Row],[Age]]&lt;=60,"46-60","60+")))</f>
        <v>30-45</v>
      </c>
      <c r="Q556" t="str">
        <f>IF(tblbuyers[[#This Row],[Income]]&lt;30000,"Low",IF(tblbuyers[[#This Row],[Income]]&lt;=70000,"Medium","High"))</f>
        <v>Medium</v>
      </c>
      <c r="R556" s="7" t="str">
        <f>IF(OR(LOWER(TRIM(tblbuyers[[#This Row],[Purchased Bike]]))="yes",LOWER(TRIM(tblbuyers[[#This Row],[Purchased Bike]]))="y"),"Yes","No")</f>
        <v>Yes</v>
      </c>
    </row>
    <row r="557" spans="1:18"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c r="O557">
        <f>COUNTBLANK(tblbuyers[Income])</f>
        <v>0</v>
      </c>
      <c r="P557" t="str">
        <f>IF(tblbuyers[[#This Row],[Age]]&lt;30,"&lt;30",IF(tblbuyers[[#This Row],[Age]]&lt;=45,"30-45",IF(tblbuyers[[#This Row],[Age]]&lt;=60,"46-60","60+")))</f>
        <v>30-45</v>
      </c>
      <c r="Q557" t="str">
        <f>IF(tblbuyers[[#This Row],[Income]]&lt;30000,"Low",IF(tblbuyers[[#This Row],[Income]]&lt;=70000,"Medium","High"))</f>
        <v>Medium</v>
      </c>
      <c r="R557" s="7" t="str">
        <f>IF(OR(LOWER(TRIM(tblbuyers[[#This Row],[Purchased Bike]]))="yes",LOWER(TRIM(tblbuyers[[#This Row],[Purchased Bike]]))="y"),"Yes","No")</f>
        <v>Yes</v>
      </c>
    </row>
    <row r="558" spans="1:18"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c r="O558">
        <f>COUNTBLANK(tblbuyers[Income])</f>
        <v>0</v>
      </c>
      <c r="P558" t="str">
        <f>IF(tblbuyers[[#This Row],[Age]]&lt;30,"&lt;30",IF(tblbuyers[[#This Row],[Age]]&lt;=45,"30-45",IF(tblbuyers[[#This Row],[Age]]&lt;=60,"46-60","60+")))</f>
        <v>30-45</v>
      </c>
      <c r="Q558" t="str">
        <f>IF(tblbuyers[[#This Row],[Income]]&lt;30000,"Low",IF(tblbuyers[[#This Row],[Income]]&lt;=70000,"Medium","High"))</f>
        <v>High</v>
      </c>
      <c r="R558" s="7" t="str">
        <f>IF(OR(LOWER(TRIM(tblbuyers[[#This Row],[Purchased Bike]]))="yes",LOWER(TRIM(tblbuyers[[#This Row],[Purchased Bike]]))="y"),"Yes","No")</f>
        <v>No</v>
      </c>
    </row>
    <row r="559" spans="1:18"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c r="O559">
        <f>COUNTBLANK(tblbuyers[Income])</f>
        <v>0</v>
      </c>
      <c r="P559" t="str">
        <f>IF(tblbuyers[[#This Row],[Age]]&lt;30,"&lt;30",IF(tblbuyers[[#This Row],[Age]]&lt;=45,"30-45",IF(tblbuyers[[#This Row],[Age]]&lt;=60,"46-60","60+")))</f>
        <v>30-45</v>
      </c>
      <c r="Q559" t="str">
        <f>IF(tblbuyers[[#This Row],[Income]]&lt;30000,"Low",IF(tblbuyers[[#This Row],[Income]]&lt;=70000,"Medium","High"))</f>
        <v>Medium</v>
      </c>
      <c r="R559" s="7" t="str">
        <f>IF(OR(LOWER(TRIM(tblbuyers[[#This Row],[Purchased Bike]]))="yes",LOWER(TRIM(tblbuyers[[#This Row],[Purchased Bike]]))="y"),"Yes","No")</f>
        <v>No</v>
      </c>
    </row>
    <row r="560" spans="1:18"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c r="O560">
        <f>COUNTBLANK(tblbuyers[Income])</f>
        <v>0</v>
      </c>
      <c r="P560" t="str">
        <f>IF(tblbuyers[[#This Row],[Age]]&lt;30,"&lt;30",IF(tblbuyers[[#This Row],[Age]]&lt;=45,"30-45",IF(tblbuyers[[#This Row],[Age]]&lt;=60,"46-60","60+")))</f>
        <v>30-45</v>
      </c>
      <c r="Q560" t="str">
        <f>IF(tblbuyers[[#This Row],[Income]]&lt;30000,"Low",IF(tblbuyers[[#This Row],[Income]]&lt;=70000,"Medium","High"))</f>
        <v>Medium</v>
      </c>
      <c r="R560" s="7" t="str">
        <f>IF(OR(LOWER(TRIM(tblbuyers[[#This Row],[Purchased Bike]]))="yes",LOWER(TRIM(tblbuyers[[#This Row],[Purchased Bike]]))="y"),"Yes","No")</f>
        <v>No</v>
      </c>
    </row>
    <row r="561" spans="1:18"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c r="O561">
        <f>COUNTBLANK(tblbuyers[Income])</f>
        <v>0</v>
      </c>
      <c r="P561" t="str">
        <f>IF(tblbuyers[[#This Row],[Age]]&lt;30,"&lt;30",IF(tblbuyers[[#This Row],[Age]]&lt;=45,"30-45",IF(tblbuyers[[#This Row],[Age]]&lt;=60,"46-60","60+")))</f>
        <v>46-60</v>
      </c>
      <c r="Q561" t="str">
        <f>IF(tblbuyers[[#This Row],[Income]]&lt;30000,"Low",IF(tblbuyers[[#This Row],[Income]]&lt;=70000,"Medium","High"))</f>
        <v>Medium</v>
      </c>
      <c r="R561" s="7" t="str">
        <f>IF(OR(LOWER(TRIM(tblbuyers[[#This Row],[Purchased Bike]]))="yes",LOWER(TRIM(tblbuyers[[#This Row],[Purchased Bike]]))="y"),"Yes","No")</f>
        <v>No</v>
      </c>
    </row>
    <row r="562" spans="1:18"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c r="O562">
        <f>COUNTBLANK(tblbuyers[Income])</f>
        <v>0</v>
      </c>
      <c r="P562" t="str">
        <f>IF(tblbuyers[[#This Row],[Age]]&lt;30,"&lt;30",IF(tblbuyers[[#This Row],[Age]]&lt;=45,"30-45",IF(tblbuyers[[#This Row],[Age]]&lt;=60,"46-60","60+")))</f>
        <v>30-45</v>
      </c>
      <c r="Q562" t="str">
        <f>IF(tblbuyers[[#This Row],[Income]]&lt;30000,"Low",IF(tblbuyers[[#This Row],[Income]]&lt;=70000,"Medium","High"))</f>
        <v>Medium</v>
      </c>
      <c r="R562" s="7" t="str">
        <f>IF(OR(LOWER(TRIM(tblbuyers[[#This Row],[Purchased Bike]]))="yes",LOWER(TRIM(tblbuyers[[#This Row],[Purchased Bike]]))="y"),"Yes","No")</f>
        <v>No</v>
      </c>
    </row>
    <row r="563" spans="1:18"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c r="O563">
        <f>COUNTBLANK(tblbuyers[Income])</f>
        <v>0</v>
      </c>
      <c r="P563" t="str">
        <f>IF(tblbuyers[[#This Row],[Age]]&lt;30,"&lt;30",IF(tblbuyers[[#This Row],[Age]]&lt;=45,"30-45",IF(tblbuyers[[#This Row],[Age]]&lt;=60,"46-60","60+")))</f>
        <v>46-60</v>
      </c>
      <c r="Q563" t="str">
        <f>IF(tblbuyers[[#This Row],[Income]]&lt;30000,"Low",IF(tblbuyers[[#This Row],[Income]]&lt;=70000,"Medium","High"))</f>
        <v>Low</v>
      </c>
      <c r="R563" s="7" t="str">
        <f>IF(OR(LOWER(TRIM(tblbuyers[[#This Row],[Purchased Bike]]))="yes",LOWER(TRIM(tblbuyers[[#This Row],[Purchased Bike]]))="y"),"Yes","No")</f>
        <v>No</v>
      </c>
    </row>
    <row r="564" spans="1:18"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c r="O564">
        <f>COUNTBLANK(tblbuyers[Income])</f>
        <v>0</v>
      </c>
      <c r="P564" t="str">
        <f>IF(tblbuyers[[#This Row],[Age]]&lt;30,"&lt;30",IF(tblbuyers[[#This Row],[Age]]&lt;=45,"30-45",IF(tblbuyers[[#This Row],[Age]]&lt;=60,"46-60","60+")))</f>
        <v>30-45</v>
      </c>
      <c r="Q564" t="str">
        <f>IF(tblbuyers[[#This Row],[Income]]&lt;30000,"Low",IF(tblbuyers[[#This Row],[Income]]&lt;=70000,"Medium","High"))</f>
        <v>Medium</v>
      </c>
      <c r="R564" s="7" t="str">
        <f>IF(OR(LOWER(TRIM(tblbuyers[[#This Row],[Purchased Bike]]))="yes",LOWER(TRIM(tblbuyers[[#This Row],[Purchased Bike]]))="y"),"Yes","No")</f>
        <v>Yes</v>
      </c>
    </row>
    <row r="565" spans="1:18"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c r="O565">
        <f>COUNTBLANK(tblbuyers[Income])</f>
        <v>0</v>
      </c>
      <c r="P565" t="str">
        <f>IF(tblbuyers[[#This Row],[Age]]&lt;30,"&lt;30",IF(tblbuyers[[#This Row],[Age]]&lt;=45,"30-45",IF(tblbuyers[[#This Row],[Age]]&lt;=60,"46-60","60+")))</f>
        <v>&lt;30</v>
      </c>
      <c r="Q565" t="str">
        <f>IF(tblbuyers[[#This Row],[Income]]&lt;30000,"Low",IF(tblbuyers[[#This Row],[Income]]&lt;=70000,"Medium","High"))</f>
        <v>Medium</v>
      </c>
      <c r="R565" s="7" t="str">
        <f>IF(OR(LOWER(TRIM(tblbuyers[[#This Row],[Purchased Bike]]))="yes",LOWER(TRIM(tblbuyers[[#This Row],[Purchased Bike]]))="y"),"Yes","No")</f>
        <v>No</v>
      </c>
    </row>
    <row r="566" spans="1:18"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c r="O566">
        <f>COUNTBLANK(tblbuyers[Income])</f>
        <v>0</v>
      </c>
      <c r="P566" t="str">
        <f>IF(tblbuyers[[#This Row],[Age]]&lt;30,"&lt;30",IF(tblbuyers[[#This Row],[Age]]&lt;=45,"30-45",IF(tblbuyers[[#This Row],[Age]]&lt;=60,"46-60","60+")))</f>
        <v>&lt;30</v>
      </c>
      <c r="Q566" t="str">
        <f>IF(tblbuyers[[#This Row],[Income]]&lt;30000,"Low",IF(tblbuyers[[#This Row],[Income]]&lt;=70000,"Medium","High"))</f>
        <v>Medium</v>
      </c>
      <c r="R566" s="7" t="str">
        <f>IF(OR(LOWER(TRIM(tblbuyers[[#This Row],[Purchased Bike]]))="yes",LOWER(TRIM(tblbuyers[[#This Row],[Purchased Bike]]))="y"),"Yes","No")</f>
        <v>No</v>
      </c>
    </row>
    <row r="567" spans="1:18"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c r="O567">
        <f>COUNTBLANK(tblbuyers[Income])</f>
        <v>0</v>
      </c>
      <c r="P567" t="str">
        <f>IF(tblbuyers[[#This Row],[Age]]&lt;30,"&lt;30",IF(tblbuyers[[#This Row],[Age]]&lt;=45,"30-45",IF(tblbuyers[[#This Row],[Age]]&lt;=60,"46-60","60+")))</f>
        <v>46-60</v>
      </c>
      <c r="Q567" t="str">
        <f>IF(tblbuyers[[#This Row],[Income]]&lt;30000,"Low",IF(tblbuyers[[#This Row],[Income]]&lt;=70000,"Medium","High"))</f>
        <v>Medium</v>
      </c>
      <c r="R567" s="7" t="str">
        <f>IF(OR(LOWER(TRIM(tblbuyers[[#This Row],[Purchased Bike]]))="yes",LOWER(TRIM(tblbuyers[[#This Row],[Purchased Bike]]))="y"),"Yes","No")</f>
        <v>Yes</v>
      </c>
    </row>
    <row r="568" spans="1:18"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c r="O568">
        <f>COUNTBLANK(tblbuyers[Income])</f>
        <v>0</v>
      </c>
      <c r="P568" t="str">
        <f>IF(tblbuyers[[#This Row],[Age]]&lt;30,"&lt;30",IF(tblbuyers[[#This Row],[Age]]&lt;=45,"30-45",IF(tblbuyers[[#This Row],[Age]]&lt;=60,"46-60","60+")))</f>
        <v>60+</v>
      </c>
      <c r="Q568" t="str">
        <f>IF(tblbuyers[[#This Row],[Income]]&lt;30000,"Low",IF(tblbuyers[[#This Row],[Income]]&lt;=70000,"Medium","High"))</f>
        <v>Medium</v>
      </c>
      <c r="R568" s="7" t="str">
        <f>IF(OR(LOWER(TRIM(tblbuyers[[#This Row],[Purchased Bike]]))="yes",LOWER(TRIM(tblbuyers[[#This Row],[Purchased Bike]]))="y"),"Yes","No")</f>
        <v>No</v>
      </c>
    </row>
    <row r="569" spans="1:18"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c r="O569">
        <f>COUNTBLANK(tblbuyers[Income])</f>
        <v>0</v>
      </c>
      <c r="P569" t="str">
        <f>IF(tblbuyers[[#This Row],[Age]]&lt;30,"&lt;30",IF(tblbuyers[[#This Row],[Age]]&lt;=45,"30-45",IF(tblbuyers[[#This Row],[Age]]&lt;=60,"46-60","60+")))</f>
        <v>46-60</v>
      </c>
      <c r="Q569" t="str">
        <f>IF(tblbuyers[[#This Row],[Income]]&lt;30000,"Low",IF(tblbuyers[[#This Row],[Income]]&lt;=70000,"Medium","High"))</f>
        <v>Medium</v>
      </c>
      <c r="R569" s="7" t="str">
        <f>IF(OR(LOWER(TRIM(tblbuyers[[#This Row],[Purchased Bike]]))="yes",LOWER(TRIM(tblbuyers[[#This Row],[Purchased Bike]]))="y"),"Yes","No")</f>
        <v>Yes</v>
      </c>
    </row>
    <row r="570" spans="1:18"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c r="O570">
        <f>COUNTBLANK(tblbuyers[Income])</f>
        <v>0</v>
      </c>
      <c r="P570" t="str">
        <f>IF(tblbuyers[[#This Row],[Age]]&lt;30,"&lt;30",IF(tblbuyers[[#This Row],[Age]]&lt;=45,"30-45",IF(tblbuyers[[#This Row],[Age]]&lt;=60,"46-60","60+")))</f>
        <v>30-45</v>
      </c>
      <c r="Q570" t="str">
        <f>IF(tblbuyers[[#This Row],[Income]]&lt;30000,"Low",IF(tblbuyers[[#This Row],[Income]]&lt;=70000,"Medium","High"))</f>
        <v>Medium</v>
      </c>
      <c r="R570" s="7" t="str">
        <f>IF(OR(LOWER(TRIM(tblbuyers[[#This Row],[Purchased Bike]]))="yes",LOWER(TRIM(tblbuyers[[#This Row],[Purchased Bike]]))="y"),"Yes","No")</f>
        <v>Yes</v>
      </c>
    </row>
    <row r="571" spans="1:18"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c r="O571">
        <f>COUNTBLANK(tblbuyers[Income])</f>
        <v>0</v>
      </c>
      <c r="P571" t="str">
        <f>IF(tblbuyers[[#This Row],[Age]]&lt;30,"&lt;30",IF(tblbuyers[[#This Row],[Age]]&lt;=45,"30-45",IF(tblbuyers[[#This Row],[Age]]&lt;=60,"46-60","60+")))</f>
        <v>60+</v>
      </c>
      <c r="Q571" t="str">
        <f>IF(tblbuyers[[#This Row],[Income]]&lt;30000,"Low",IF(tblbuyers[[#This Row],[Income]]&lt;=70000,"Medium","High"))</f>
        <v>Medium</v>
      </c>
      <c r="R571" s="7" t="str">
        <f>IF(OR(LOWER(TRIM(tblbuyers[[#This Row],[Purchased Bike]]))="yes",LOWER(TRIM(tblbuyers[[#This Row],[Purchased Bike]]))="y"),"Yes","No")</f>
        <v>No</v>
      </c>
    </row>
    <row r="572" spans="1:18"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c r="O572">
        <f>COUNTBLANK(tblbuyers[Income])</f>
        <v>0</v>
      </c>
      <c r="P572" t="str">
        <f>IF(tblbuyers[[#This Row],[Age]]&lt;30,"&lt;30",IF(tblbuyers[[#This Row],[Age]]&lt;=45,"30-45",IF(tblbuyers[[#This Row],[Age]]&lt;=60,"46-60","60+")))</f>
        <v>46-60</v>
      </c>
      <c r="Q572" t="str">
        <f>IF(tblbuyers[[#This Row],[Income]]&lt;30000,"Low",IF(tblbuyers[[#This Row],[Income]]&lt;=70000,"Medium","High"))</f>
        <v>Medium</v>
      </c>
      <c r="R572" s="7" t="str">
        <f>IF(OR(LOWER(TRIM(tblbuyers[[#This Row],[Purchased Bike]]))="yes",LOWER(TRIM(tblbuyers[[#This Row],[Purchased Bike]]))="y"),"Yes","No")</f>
        <v>No</v>
      </c>
    </row>
    <row r="573" spans="1:18"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c r="O573">
        <f>COUNTBLANK(tblbuyers[Income])</f>
        <v>0</v>
      </c>
      <c r="P573" t="str">
        <f>IF(tblbuyers[[#This Row],[Age]]&lt;30,"&lt;30",IF(tblbuyers[[#This Row],[Age]]&lt;=45,"30-45",IF(tblbuyers[[#This Row],[Age]]&lt;=60,"46-60","60+")))</f>
        <v>46-60</v>
      </c>
      <c r="Q573" t="str">
        <f>IF(tblbuyers[[#This Row],[Income]]&lt;30000,"Low",IF(tblbuyers[[#This Row],[Income]]&lt;=70000,"Medium","High"))</f>
        <v>Medium</v>
      </c>
      <c r="R573" s="7" t="str">
        <f>IF(OR(LOWER(TRIM(tblbuyers[[#This Row],[Purchased Bike]]))="yes",LOWER(TRIM(tblbuyers[[#This Row],[Purchased Bike]]))="y"),"Yes","No")</f>
        <v>No</v>
      </c>
    </row>
    <row r="574" spans="1:18"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c r="O574">
        <f>COUNTBLANK(tblbuyers[Income])</f>
        <v>0</v>
      </c>
      <c r="P574" t="str">
        <f>IF(tblbuyers[[#This Row],[Age]]&lt;30,"&lt;30",IF(tblbuyers[[#This Row],[Age]]&lt;=45,"30-45",IF(tblbuyers[[#This Row],[Age]]&lt;=60,"46-60","60+")))</f>
        <v>30-45</v>
      </c>
      <c r="Q574" t="str">
        <f>IF(tblbuyers[[#This Row],[Income]]&lt;30000,"Low",IF(tblbuyers[[#This Row],[Income]]&lt;=70000,"Medium","High"))</f>
        <v>Medium</v>
      </c>
      <c r="R574" s="7" t="str">
        <f>IF(OR(LOWER(TRIM(tblbuyers[[#This Row],[Purchased Bike]]))="yes",LOWER(TRIM(tblbuyers[[#This Row],[Purchased Bike]]))="y"),"Yes","No")</f>
        <v>No</v>
      </c>
    </row>
    <row r="575" spans="1:18"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c r="O575">
        <f>COUNTBLANK(tblbuyers[Income])</f>
        <v>0</v>
      </c>
      <c r="P575" t="str">
        <f>IF(tblbuyers[[#This Row],[Age]]&lt;30,"&lt;30",IF(tblbuyers[[#This Row],[Age]]&lt;=45,"30-45",IF(tblbuyers[[#This Row],[Age]]&lt;=60,"46-60","60+")))</f>
        <v>60+</v>
      </c>
      <c r="Q575" t="str">
        <f>IF(tblbuyers[[#This Row],[Income]]&lt;30000,"Low",IF(tblbuyers[[#This Row],[Income]]&lt;=70000,"Medium","High"))</f>
        <v>Medium</v>
      </c>
      <c r="R575" s="7" t="str">
        <f>IF(OR(LOWER(TRIM(tblbuyers[[#This Row],[Purchased Bike]]))="yes",LOWER(TRIM(tblbuyers[[#This Row],[Purchased Bike]]))="y"),"Yes","No")</f>
        <v>No</v>
      </c>
    </row>
    <row r="576" spans="1:18"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c r="O576">
        <f>COUNTBLANK(tblbuyers[Income])</f>
        <v>0</v>
      </c>
      <c r="P576" t="str">
        <f>IF(tblbuyers[[#This Row],[Age]]&lt;30,"&lt;30",IF(tblbuyers[[#This Row],[Age]]&lt;=45,"30-45",IF(tblbuyers[[#This Row],[Age]]&lt;=60,"46-60","60+")))</f>
        <v>30-45</v>
      </c>
      <c r="Q576" t="str">
        <f>IF(tblbuyers[[#This Row],[Income]]&lt;30000,"Low",IF(tblbuyers[[#This Row],[Income]]&lt;=70000,"Medium","High"))</f>
        <v>High</v>
      </c>
      <c r="R576" s="7" t="str">
        <f>IF(OR(LOWER(TRIM(tblbuyers[[#This Row],[Purchased Bike]]))="yes",LOWER(TRIM(tblbuyers[[#This Row],[Purchased Bike]]))="y"),"Yes","No")</f>
        <v>Yes</v>
      </c>
    </row>
    <row r="577" spans="1:18"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c r="O577">
        <f>COUNTBLANK(tblbuyers[Income])</f>
        <v>0</v>
      </c>
      <c r="P577" t="str">
        <f>IF(tblbuyers[[#This Row],[Age]]&lt;30,"&lt;30",IF(tblbuyers[[#This Row],[Age]]&lt;=45,"30-45",IF(tblbuyers[[#This Row],[Age]]&lt;=60,"46-60","60+")))</f>
        <v>46-60</v>
      </c>
      <c r="Q577" t="str">
        <f>IF(tblbuyers[[#This Row],[Income]]&lt;30000,"Low",IF(tblbuyers[[#This Row],[Income]]&lt;=70000,"Medium","High"))</f>
        <v>Medium</v>
      </c>
      <c r="R577" s="7" t="str">
        <f>IF(OR(LOWER(TRIM(tblbuyers[[#This Row],[Purchased Bike]]))="yes",LOWER(TRIM(tblbuyers[[#This Row],[Purchased Bike]]))="y"),"Yes","No")</f>
        <v>No</v>
      </c>
    </row>
    <row r="578" spans="1:18"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c r="O578">
        <f>COUNTBLANK(tblbuyers[Income])</f>
        <v>0</v>
      </c>
      <c r="P578" t="str">
        <f>IF(tblbuyers[[#This Row],[Age]]&lt;30,"&lt;30",IF(tblbuyers[[#This Row],[Age]]&lt;=45,"30-45",IF(tblbuyers[[#This Row],[Age]]&lt;=60,"46-60","60+")))</f>
        <v>30-45</v>
      </c>
      <c r="Q578" t="str">
        <f>IF(tblbuyers[[#This Row],[Income]]&lt;30000,"Low",IF(tblbuyers[[#This Row],[Income]]&lt;=70000,"Medium","High"))</f>
        <v>Medium</v>
      </c>
      <c r="R578" s="7" t="str">
        <f>IF(OR(LOWER(TRIM(tblbuyers[[#This Row],[Purchased Bike]]))="yes",LOWER(TRIM(tblbuyers[[#This Row],[Purchased Bike]]))="y"),"Yes","No")</f>
        <v>No</v>
      </c>
    </row>
    <row r="579" spans="1:18"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c r="O579">
        <f>COUNTBLANK(tblbuyers[Income])</f>
        <v>0</v>
      </c>
      <c r="P579" t="str">
        <f>IF(tblbuyers[[#This Row],[Age]]&lt;30,"&lt;30",IF(tblbuyers[[#This Row],[Age]]&lt;=45,"30-45",IF(tblbuyers[[#This Row],[Age]]&lt;=60,"46-60","60+")))</f>
        <v>30-45</v>
      </c>
      <c r="Q579" t="str">
        <f>IF(tblbuyers[[#This Row],[Income]]&lt;30000,"Low",IF(tblbuyers[[#This Row],[Income]]&lt;=70000,"Medium","High"))</f>
        <v>High</v>
      </c>
      <c r="R579" s="7" t="str">
        <f>IF(OR(LOWER(TRIM(tblbuyers[[#This Row],[Purchased Bike]]))="yes",LOWER(TRIM(tblbuyers[[#This Row],[Purchased Bike]]))="y"),"Yes","No")</f>
        <v>No</v>
      </c>
    </row>
    <row r="580" spans="1:18"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c r="O580">
        <f>COUNTBLANK(tblbuyers[Income])</f>
        <v>0</v>
      </c>
      <c r="P580" t="str">
        <f>IF(tblbuyers[[#This Row],[Age]]&lt;30,"&lt;30",IF(tblbuyers[[#This Row],[Age]]&lt;=45,"30-45",IF(tblbuyers[[#This Row],[Age]]&lt;=60,"46-60","60+")))</f>
        <v>46-60</v>
      </c>
      <c r="Q580" t="str">
        <f>IF(tblbuyers[[#This Row],[Income]]&lt;30000,"Low",IF(tblbuyers[[#This Row],[Income]]&lt;=70000,"Medium","High"))</f>
        <v>Medium</v>
      </c>
      <c r="R580" s="7" t="str">
        <f>IF(OR(LOWER(TRIM(tblbuyers[[#This Row],[Purchased Bike]]))="yes",LOWER(TRIM(tblbuyers[[#This Row],[Purchased Bike]]))="y"),"Yes","No")</f>
        <v>No</v>
      </c>
    </row>
    <row r="581" spans="1:18"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c r="O581">
        <f>COUNTBLANK(tblbuyers[Income])</f>
        <v>0</v>
      </c>
      <c r="P581" t="str">
        <f>IF(tblbuyers[[#This Row],[Age]]&lt;30,"&lt;30",IF(tblbuyers[[#This Row],[Age]]&lt;=45,"30-45",IF(tblbuyers[[#This Row],[Age]]&lt;=60,"46-60","60+")))</f>
        <v>30-45</v>
      </c>
      <c r="Q581" t="str">
        <f>IF(tblbuyers[[#This Row],[Income]]&lt;30000,"Low",IF(tblbuyers[[#This Row],[Income]]&lt;=70000,"Medium","High"))</f>
        <v>Medium</v>
      </c>
      <c r="R581" s="7" t="str">
        <f>IF(OR(LOWER(TRIM(tblbuyers[[#This Row],[Purchased Bike]]))="yes",LOWER(TRIM(tblbuyers[[#This Row],[Purchased Bike]]))="y"),"Yes","No")</f>
        <v>No</v>
      </c>
    </row>
    <row r="582" spans="1:18"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c r="O582">
        <f>COUNTBLANK(tblbuyers[Income])</f>
        <v>0</v>
      </c>
      <c r="P582" t="str">
        <f>IF(tblbuyers[[#This Row],[Age]]&lt;30,"&lt;30",IF(tblbuyers[[#This Row],[Age]]&lt;=45,"30-45",IF(tblbuyers[[#This Row],[Age]]&lt;=60,"46-60","60+")))</f>
        <v>60+</v>
      </c>
      <c r="Q582" t="str">
        <f>IF(tblbuyers[[#This Row],[Income]]&lt;30000,"Low",IF(tblbuyers[[#This Row],[Income]]&lt;=70000,"Medium","High"))</f>
        <v>Medium</v>
      </c>
      <c r="R582" s="7" t="str">
        <f>IF(OR(LOWER(TRIM(tblbuyers[[#This Row],[Purchased Bike]]))="yes",LOWER(TRIM(tblbuyers[[#This Row],[Purchased Bike]]))="y"),"Yes","No")</f>
        <v>No</v>
      </c>
    </row>
    <row r="583" spans="1:18"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c r="O583">
        <f>COUNTBLANK(tblbuyers[Income])</f>
        <v>0</v>
      </c>
      <c r="P583" t="str">
        <f>IF(tblbuyers[[#This Row],[Age]]&lt;30,"&lt;30",IF(tblbuyers[[#This Row],[Age]]&lt;=45,"30-45",IF(tblbuyers[[#This Row],[Age]]&lt;=60,"46-60","60+")))</f>
        <v>&lt;30</v>
      </c>
      <c r="Q583" t="str">
        <f>IF(tblbuyers[[#This Row],[Income]]&lt;30000,"Low",IF(tblbuyers[[#This Row],[Income]]&lt;=70000,"Medium","High"))</f>
        <v>Medium</v>
      </c>
      <c r="R583" s="7" t="str">
        <f>IF(OR(LOWER(TRIM(tblbuyers[[#This Row],[Purchased Bike]]))="yes",LOWER(TRIM(tblbuyers[[#This Row],[Purchased Bike]]))="y"),"Yes","No")</f>
        <v>No</v>
      </c>
    </row>
    <row r="584" spans="1:18"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c r="O584">
        <f>COUNTBLANK(tblbuyers[Income])</f>
        <v>0</v>
      </c>
      <c r="P584" t="str">
        <f>IF(tblbuyers[[#This Row],[Age]]&lt;30,"&lt;30",IF(tblbuyers[[#This Row],[Age]]&lt;=45,"30-45",IF(tblbuyers[[#This Row],[Age]]&lt;=60,"46-60","60+")))</f>
        <v>46-60</v>
      </c>
      <c r="Q584" t="str">
        <f>IF(tblbuyers[[#This Row],[Income]]&lt;30000,"Low",IF(tblbuyers[[#This Row],[Income]]&lt;=70000,"Medium","High"))</f>
        <v>High</v>
      </c>
      <c r="R584" s="7" t="str">
        <f>IF(OR(LOWER(TRIM(tblbuyers[[#This Row],[Purchased Bike]]))="yes",LOWER(TRIM(tblbuyers[[#This Row],[Purchased Bike]]))="y"),"Yes","No")</f>
        <v>No</v>
      </c>
    </row>
    <row r="585" spans="1:18"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c r="O585">
        <f>COUNTBLANK(tblbuyers[Income])</f>
        <v>0</v>
      </c>
      <c r="P585" t="str">
        <f>IF(tblbuyers[[#This Row],[Age]]&lt;30,"&lt;30",IF(tblbuyers[[#This Row],[Age]]&lt;=45,"30-45",IF(tblbuyers[[#This Row],[Age]]&lt;=60,"46-60","60+")))</f>
        <v>60+</v>
      </c>
      <c r="Q585" t="str">
        <f>IF(tblbuyers[[#This Row],[Income]]&lt;30000,"Low",IF(tblbuyers[[#This Row],[Income]]&lt;=70000,"Medium","High"))</f>
        <v>Medium</v>
      </c>
      <c r="R585" s="7" t="str">
        <f>IF(OR(LOWER(TRIM(tblbuyers[[#This Row],[Purchased Bike]]))="yes",LOWER(TRIM(tblbuyers[[#This Row],[Purchased Bike]]))="y"),"Yes","No")</f>
        <v>No</v>
      </c>
    </row>
    <row r="586" spans="1:18"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c r="O586">
        <f>COUNTBLANK(tblbuyers[Income])</f>
        <v>0</v>
      </c>
      <c r="P586" t="str">
        <f>IF(tblbuyers[[#This Row],[Age]]&lt;30,"&lt;30",IF(tblbuyers[[#This Row],[Age]]&lt;=45,"30-45",IF(tblbuyers[[#This Row],[Age]]&lt;=60,"46-60","60+")))</f>
        <v>30-45</v>
      </c>
      <c r="Q586" t="str">
        <f>IF(tblbuyers[[#This Row],[Income]]&lt;30000,"Low",IF(tblbuyers[[#This Row],[Income]]&lt;=70000,"Medium","High"))</f>
        <v>Medium</v>
      </c>
      <c r="R586" s="7" t="str">
        <f>IF(OR(LOWER(TRIM(tblbuyers[[#This Row],[Purchased Bike]]))="yes",LOWER(TRIM(tblbuyers[[#This Row],[Purchased Bike]]))="y"),"Yes","No")</f>
        <v>Yes</v>
      </c>
    </row>
    <row r="587" spans="1:18"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c r="O587">
        <f>COUNTBLANK(tblbuyers[Income])</f>
        <v>0</v>
      </c>
      <c r="P587" t="str">
        <f>IF(tblbuyers[[#This Row],[Age]]&lt;30,"&lt;30",IF(tblbuyers[[#This Row],[Age]]&lt;=45,"30-45",IF(tblbuyers[[#This Row],[Age]]&lt;=60,"46-60","60+")))</f>
        <v>30-45</v>
      </c>
      <c r="Q587" t="str">
        <f>IF(tblbuyers[[#This Row],[Income]]&lt;30000,"Low",IF(tblbuyers[[#This Row],[Income]]&lt;=70000,"Medium","High"))</f>
        <v>High</v>
      </c>
      <c r="R587" s="7" t="str">
        <f>IF(OR(LOWER(TRIM(tblbuyers[[#This Row],[Purchased Bike]]))="yes",LOWER(TRIM(tblbuyers[[#This Row],[Purchased Bike]]))="y"),"Yes","No")</f>
        <v>Yes</v>
      </c>
    </row>
    <row r="588" spans="1:18"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c r="O588">
        <f>COUNTBLANK(tblbuyers[Income])</f>
        <v>0</v>
      </c>
      <c r="P588" t="str">
        <f>IF(tblbuyers[[#This Row],[Age]]&lt;30,"&lt;30",IF(tblbuyers[[#This Row],[Age]]&lt;=45,"30-45",IF(tblbuyers[[#This Row],[Age]]&lt;=60,"46-60","60+")))</f>
        <v>46-60</v>
      </c>
      <c r="Q588" t="str">
        <f>IF(tblbuyers[[#This Row],[Income]]&lt;30000,"Low",IF(tblbuyers[[#This Row],[Income]]&lt;=70000,"Medium","High"))</f>
        <v>Medium</v>
      </c>
      <c r="R588" s="7" t="str">
        <f>IF(OR(LOWER(TRIM(tblbuyers[[#This Row],[Purchased Bike]]))="yes",LOWER(TRIM(tblbuyers[[#This Row],[Purchased Bike]]))="y"),"Yes","No")</f>
        <v>No</v>
      </c>
    </row>
    <row r="589" spans="1:18"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c r="O589">
        <f>COUNTBLANK(tblbuyers[Income])</f>
        <v>0</v>
      </c>
      <c r="P589" t="str">
        <f>IF(tblbuyers[[#This Row],[Age]]&lt;30,"&lt;30",IF(tblbuyers[[#This Row],[Age]]&lt;=45,"30-45",IF(tblbuyers[[#This Row],[Age]]&lt;=60,"46-60","60+")))</f>
        <v>30-45</v>
      </c>
      <c r="Q589" t="str">
        <f>IF(tblbuyers[[#This Row],[Income]]&lt;30000,"Low",IF(tblbuyers[[#This Row],[Income]]&lt;=70000,"Medium","High"))</f>
        <v>High</v>
      </c>
      <c r="R589" s="7" t="str">
        <f>IF(OR(LOWER(TRIM(tblbuyers[[#This Row],[Purchased Bike]]))="yes",LOWER(TRIM(tblbuyers[[#This Row],[Purchased Bike]]))="y"),"Yes","No")</f>
        <v>No</v>
      </c>
    </row>
    <row r="590" spans="1:18" x14ac:dyDescent="0.25">
      <c r="A590">
        <v>16871</v>
      </c>
      <c r="B590" t="s">
        <v>36</v>
      </c>
      <c r="C590" t="s">
        <v>38</v>
      </c>
      <c r="D590" s="3">
        <v>90000</v>
      </c>
      <c r="E590">
        <v>2</v>
      </c>
      <c r="F590" t="s">
        <v>27</v>
      </c>
      <c r="G590" t="s">
        <v>21</v>
      </c>
      <c r="H590" t="s">
        <v>15</v>
      </c>
      <c r="I590">
        <v>1</v>
      </c>
      <c r="J590" t="s">
        <v>30</v>
      </c>
      <c r="K590" t="s">
        <v>32</v>
      </c>
      <c r="L590">
        <v>51</v>
      </c>
      <c r="M590" t="str">
        <f t="shared" si="9"/>
        <v>Middle Age</v>
      </c>
      <c r="N590" t="s">
        <v>15</v>
      </c>
      <c r="O590">
        <f>COUNTBLANK(tblbuyers[Income])</f>
        <v>0</v>
      </c>
      <c r="P590" t="str">
        <f>IF(tblbuyers[[#This Row],[Age]]&lt;30,"&lt;30",IF(tblbuyers[[#This Row],[Age]]&lt;=45,"30-45",IF(tblbuyers[[#This Row],[Age]]&lt;=60,"46-60","60+")))</f>
        <v>46-60</v>
      </c>
      <c r="Q590" t="str">
        <f>IF(tblbuyers[[#This Row],[Income]]&lt;30000,"Low",IF(tblbuyers[[#This Row],[Income]]&lt;=70000,"Medium","High"))</f>
        <v>High</v>
      </c>
      <c r="R590" s="7" t="str">
        <f>IF(OR(LOWER(TRIM(tblbuyers[[#This Row],[Purchased Bike]]))="yes",LOWER(TRIM(tblbuyers[[#This Row],[Purchased Bike]]))="y"),"Yes","No")</f>
        <v>Yes</v>
      </c>
    </row>
    <row r="591" spans="1:18"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c r="O591">
        <f>COUNTBLANK(tblbuyers[Income])</f>
        <v>0</v>
      </c>
      <c r="P591" t="str">
        <f>IF(tblbuyers[[#This Row],[Age]]&lt;30,"&lt;30",IF(tblbuyers[[#This Row],[Age]]&lt;=45,"30-45",IF(tblbuyers[[#This Row],[Age]]&lt;=60,"46-60","60+")))</f>
        <v>46-60</v>
      </c>
      <c r="Q591" t="str">
        <f>IF(tblbuyers[[#This Row],[Income]]&lt;30000,"Low",IF(tblbuyers[[#This Row],[Income]]&lt;=70000,"Medium","High"))</f>
        <v>Medium</v>
      </c>
      <c r="R591" s="7" t="str">
        <f>IF(OR(LOWER(TRIM(tblbuyers[[#This Row],[Purchased Bike]]))="yes",LOWER(TRIM(tblbuyers[[#This Row],[Purchased Bike]]))="y"),"Yes","No")</f>
        <v>No</v>
      </c>
    </row>
    <row r="592" spans="1:18"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c r="O592">
        <f>COUNTBLANK(tblbuyers[Income])</f>
        <v>0</v>
      </c>
      <c r="P592" t="str">
        <f>IF(tblbuyers[[#This Row],[Age]]&lt;30,"&lt;30",IF(tblbuyers[[#This Row],[Age]]&lt;=45,"30-45",IF(tblbuyers[[#This Row],[Age]]&lt;=60,"46-60","60+")))</f>
        <v>30-45</v>
      </c>
      <c r="Q592" t="str">
        <f>IF(tblbuyers[[#This Row],[Income]]&lt;30000,"Low",IF(tblbuyers[[#This Row],[Income]]&lt;=70000,"Medium","High"))</f>
        <v>Medium</v>
      </c>
      <c r="R592" s="7" t="str">
        <f>IF(OR(LOWER(TRIM(tblbuyers[[#This Row],[Purchased Bike]]))="yes",LOWER(TRIM(tblbuyers[[#This Row],[Purchased Bike]]))="y"),"Yes","No")</f>
        <v>Yes</v>
      </c>
    </row>
    <row r="593" spans="1:18"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c r="O593">
        <f>COUNTBLANK(tblbuyers[Income])</f>
        <v>0</v>
      </c>
      <c r="P593" t="str">
        <f>IF(tblbuyers[[#This Row],[Age]]&lt;30,"&lt;30",IF(tblbuyers[[#This Row],[Age]]&lt;=45,"30-45",IF(tblbuyers[[#This Row],[Age]]&lt;=60,"46-60","60+")))</f>
        <v>60+</v>
      </c>
      <c r="Q593" t="str">
        <f>IF(tblbuyers[[#This Row],[Income]]&lt;30000,"Low",IF(tblbuyers[[#This Row],[Income]]&lt;=70000,"Medium","High"))</f>
        <v>Medium</v>
      </c>
      <c r="R593" s="7" t="str">
        <f>IF(OR(LOWER(TRIM(tblbuyers[[#This Row],[Purchased Bike]]))="yes",LOWER(TRIM(tblbuyers[[#This Row],[Purchased Bike]]))="y"),"Yes","No")</f>
        <v>Yes</v>
      </c>
    </row>
    <row r="594" spans="1:18"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c r="O594">
        <f>COUNTBLANK(tblbuyers[Income])</f>
        <v>0</v>
      </c>
      <c r="P594" t="str">
        <f>IF(tblbuyers[[#This Row],[Age]]&lt;30,"&lt;30",IF(tblbuyers[[#This Row],[Age]]&lt;=45,"30-45",IF(tblbuyers[[#This Row],[Age]]&lt;=60,"46-60","60+")))</f>
        <v>30-45</v>
      </c>
      <c r="Q594" t="str">
        <f>IF(tblbuyers[[#This Row],[Income]]&lt;30000,"Low",IF(tblbuyers[[#This Row],[Income]]&lt;=70000,"Medium","High"))</f>
        <v>High</v>
      </c>
      <c r="R594" s="7" t="str">
        <f>IF(OR(LOWER(TRIM(tblbuyers[[#This Row],[Purchased Bike]]))="yes",LOWER(TRIM(tblbuyers[[#This Row],[Purchased Bike]]))="y"),"Yes","No")</f>
        <v>No</v>
      </c>
    </row>
    <row r="595" spans="1:18"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c r="O595">
        <f>COUNTBLANK(tblbuyers[Income])</f>
        <v>0</v>
      </c>
      <c r="P595" t="str">
        <f>IF(tblbuyers[[#This Row],[Age]]&lt;30,"&lt;30",IF(tblbuyers[[#This Row],[Age]]&lt;=45,"30-45",IF(tblbuyers[[#This Row],[Age]]&lt;=60,"46-60","60+")))</f>
        <v>46-60</v>
      </c>
      <c r="Q595" t="str">
        <f>IF(tblbuyers[[#This Row],[Income]]&lt;30000,"Low",IF(tblbuyers[[#This Row],[Income]]&lt;=70000,"Medium","High"))</f>
        <v>Medium</v>
      </c>
      <c r="R595" s="7" t="str">
        <f>IF(OR(LOWER(TRIM(tblbuyers[[#This Row],[Purchased Bike]]))="yes",LOWER(TRIM(tblbuyers[[#This Row],[Purchased Bike]]))="y"),"Yes","No")</f>
        <v>Yes</v>
      </c>
    </row>
    <row r="596" spans="1:18"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c r="O596">
        <f>COUNTBLANK(tblbuyers[Income])</f>
        <v>0</v>
      </c>
      <c r="P596" t="str">
        <f>IF(tblbuyers[[#This Row],[Age]]&lt;30,"&lt;30",IF(tblbuyers[[#This Row],[Age]]&lt;=45,"30-45",IF(tblbuyers[[#This Row],[Age]]&lt;=60,"46-60","60+")))</f>
        <v>60+</v>
      </c>
      <c r="Q596" t="str">
        <f>IF(tblbuyers[[#This Row],[Income]]&lt;30000,"Low",IF(tblbuyers[[#This Row],[Income]]&lt;=70000,"Medium","High"))</f>
        <v>High</v>
      </c>
      <c r="R596" s="7" t="str">
        <f>IF(OR(LOWER(TRIM(tblbuyers[[#This Row],[Purchased Bike]]))="yes",LOWER(TRIM(tblbuyers[[#This Row],[Purchased Bike]]))="y"),"Yes","No")</f>
        <v>No</v>
      </c>
    </row>
    <row r="597" spans="1:18"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c r="O597">
        <f>COUNTBLANK(tblbuyers[Income])</f>
        <v>0</v>
      </c>
      <c r="P597" t="str">
        <f>IF(tblbuyers[[#This Row],[Age]]&lt;30,"&lt;30",IF(tblbuyers[[#This Row],[Age]]&lt;=45,"30-45",IF(tblbuyers[[#This Row],[Age]]&lt;=60,"46-60","60+")))</f>
        <v>60+</v>
      </c>
      <c r="Q597" t="str">
        <f>IF(tblbuyers[[#This Row],[Income]]&lt;30000,"Low",IF(tblbuyers[[#This Row],[Income]]&lt;=70000,"Medium","High"))</f>
        <v>Low</v>
      </c>
      <c r="R597" s="7" t="str">
        <f>IF(OR(LOWER(TRIM(tblbuyers[[#This Row],[Purchased Bike]]))="yes",LOWER(TRIM(tblbuyers[[#This Row],[Purchased Bike]]))="y"),"Yes","No")</f>
        <v>No</v>
      </c>
    </row>
    <row r="598" spans="1:18"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c r="O598">
        <f>COUNTBLANK(tblbuyers[Income])</f>
        <v>0</v>
      </c>
      <c r="P598" t="str">
        <f>IF(tblbuyers[[#This Row],[Age]]&lt;30,"&lt;30",IF(tblbuyers[[#This Row],[Age]]&lt;=45,"30-45",IF(tblbuyers[[#This Row],[Age]]&lt;=60,"46-60","60+")))</f>
        <v>30-45</v>
      </c>
      <c r="Q598" t="str">
        <f>IF(tblbuyers[[#This Row],[Income]]&lt;30000,"Low",IF(tblbuyers[[#This Row],[Income]]&lt;=70000,"Medium","High"))</f>
        <v>High</v>
      </c>
      <c r="R598" s="7" t="str">
        <f>IF(OR(LOWER(TRIM(tblbuyers[[#This Row],[Purchased Bike]]))="yes",LOWER(TRIM(tblbuyers[[#This Row],[Purchased Bike]]))="y"),"Yes","No")</f>
        <v>No</v>
      </c>
    </row>
    <row r="599" spans="1:18"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c r="O599">
        <f>COUNTBLANK(tblbuyers[Income])</f>
        <v>0</v>
      </c>
      <c r="P599" t="str">
        <f>IF(tblbuyers[[#This Row],[Age]]&lt;30,"&lt;30",IF(tblbuyers[[#This Row],[Age]]&lt;=45,"30-45",IF(tblbuyers[[#This Row],[Age]]&lt;=60,"46-60","60+")))</f>
        <v>46-60</v>
      </c>
      <c r="Q599" t="str">
        <f>IF(tblbuyers[[#This Row],[Income]]&lt;30000,"Low",IF(tblbuyers[[#This Row],[Income]]&lt;=70000,"Medium","High"))</f>
        <v>Medium</v>
      </c>
      <c r="R599" s="7" t="str">
        <f>IF(OR(LOWER(TRIM(tblbuyers[[#This Row],[Purchased Bike]]))="yes",LOWER(TRIM(tblbuyers[[#This Row],[Purchased Bike]]))="y"),"Yes","No")</f>
        <v>Yes</v>
      </c>
    </row>
    <row r="600" spans="1:18"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c r="O600">
        <f>COUNTBLANK(tblbuyers[Income])</f>
        <v>0</v>
      </c>
      <c r="P600" t="str">
        <f>IF(tblbuyers[[#This Row],[Age]]&lt;30,"&lt;30",IF(tblbuyers[[#This Row],[Age]]&lt;=45,"30-45",IF(tblbuyers[[#This Row],[Age]]&lt;=60,"46-60","60+")))</f>
        <v>30-45</v>
      </c>
      <c r="Q600" t="str">
        <f>IF(tblbuyers[[#This Row],[Income]]&lt;30000,"Low",IF(tblbuyers[[#This Row],[Income]]&lt;=70000,"Medium","High"))</f>
        <v>High</v>
      </c>
      <c r="R600" s="7" t="str">
        <f>IF(OR(LOWER(TRIM(tblbuyers[[#This Row],[Purchased Bike]]))="yes",LOWER(TRIM(tblbuyers[[#This Row],[Purchased Bike]]))="y"),"Yes","No")</f>
        <v>No</v>
      </c>
    </row>
    <row r="601" spans="1:18"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c r="O601">
        <f>COUNTBLANK(tblbuyers[Income])</f>
        <v>0</v>
      </c>
      <c r="P601" t="str">
        <f>IF(tblbuyers[[#This Row],[Age]]&lt;30,"&lt;30",IF(tblbuyers[[#This Row],[Age]]&lt;=45,"30-45",IF(tblbuyers[[#This Row],[Age]]&lt;=60,"46-60","60+")))</f>
        <v>46-60</v>
      </c>
      <c r="Q601" t="str">
        <f>IF(tblbuyers[[#This Row],[Income]]&lt;30000,"Low",IF(tblbuyers[[#This Row],[Income]]&lt;=70000,"Medium","High"))</f>
        <v>Medium</v>
      </c>
      <c r="R601" s="7" t="str">
        <f>IF(OR(LOWER(TRIM(tblbuyers[[#This Row],[Purchased Bike]]))="yes",LOWER(TRIM(tblbuyers[[#This Row],[Purchased Bike]]))="y"),"Yes","No")</f>
        <v>Yes</v>
      </c>
    </row>
    <row r="602" spans="1:18"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c r="O602">
        <f>COUNTBLANK(tblbuyers[Income])</f>
        <v>0</v>
      </c>
      <c r="P602" t="str">
        <f>IF(tblbuyers[[#This Row],[Age]]&lt;30,"&lt;30",IF(tblbuyers[[#This Row],[Age]]&lt;=45,"30-45",IF(tblbuyers[[#This Row],[Age]]&lt;=60,"46-60","60+")))</f>
        <v>46-60</v>
      </c>
      <c r="Q602" t="str">
        <f>IF(tblbuyers[[#This Row],[Income]]&lt;30000,"Low",IF(tblbuyers[[#This Row],[Income]]&lt;=70000,"Medium","High"))</f>
        <v>Medium</v>
      </c>
      <c r="R602" s="7" t="str">
        <f>IF(OR(LOWER(TRIM(tblbuyers[[#This Row],[Purchased Bike]]))="yes",LOWER(TRIM(tblbuyers[[#This Row],[Purchased Bike]]))="y"),"Yes","No")</f>
        <v>No</v>
      </c>
    </row>
    <row r="603" spans="1:18"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c r="O603">
        <f>COUNTBLANK(tblbuyers[Income])</f>
        <v>0</v>
      </c>
      <c r="P603" t="str">
        <f>IF(tblbuyers[[#This Row],[Age]]&lt;30,"&lt;30",IF(tblbuyers[[#This Row],[Age]]&lt;=45,"30-45",IF(tblbuyers[[#This Row],[Age]]&lt;=60,"46-60","60+")))</f>
        <v>30-45</v>
      </c>
      <c r="Q603" t="str">
        <f>IF(tblbuyers[[#This Row],[Income]]&lt;30000,"Low",IF(tblbuyers[[#This Row],[Income]]&lt;=70000,"Medium","High"))</f>
        <v>High</v>
      </c>
      <c r="R603" s="7" t="str">
        <f>IF(OR(LOWER(TRIM(tblbuyers[[#This Row],[Purchased Bike]]))="yes",LOWER(TRIM(tblbuyers[[#This Row],[Purchased Bike]]))="y"),"Yes","No")</f>
        <v>No</v>
      </c>
    </row>
    <row r="604" spans="1:18"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c r="O604">
        <f>COUNTBLANK(tblbuyers[Income])</f>
        <v>0</v>
      </c>
      <c r="P604" t="str">
        <f>IF(tblbuyers[[#This Row],[Age]]&lt;30,"&lt;30",IF(tblbuyers[[#This Row],[Age]]&lt;=45,"30-45",IF(tblbuyers[[#This Row],[Age]]&lt;=60,"46-60","60+")))</f>
        <v>46-60</v>
      </c>
      <c r="Q604" t="str">
        <f>IF(tblbuyers[[#This Row],[Income]]&lt;30000,"Low",IF(tblbuyers[[#This Row],[Income]]&lt;=70000,"Medium","High"))</f>
        <v>Medium</v>
      </c>
      <c r="R604" s="7" t="str">
        <f>IF(OR(LOWER(TRIM(tblbuyers[[#This Row],[Purchased Bike]]))="yes",LOWER(TRIM(tblbuyers[[#This Row],[Purchased Bike]]))="y"),"Yes","No")</f>
        <v>Yes</v>
      </c>
    </row>
    <row r="605" spans="1:18"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c r="O605">
        <f>COUNTBLANK(tblbuyers[Income])</f>
        <v>0</v>
      </c>
      <c r="P605" t="str">
        <f>IF(tblbuyers[[#This Row],[Age]]&lt;30,"&lt;30",IF(tblbuyers[[#This Row],[Age]]&lt;=45,"30-45",IF(tblbuyers[[#This Row],[Age]]&lt;=60,"46-60","60+")))</f>
        <v>30-45</v>
      </c>
      <c r="Q605" t="str">
        <f>IF(tblbuyers[[#This Row],[Income]]&lt;30000,"Low",IF(tblbuyers[[#This Row],[Income]]&lt;=70000,"Medium","High"))</f>
        <v>Medium</v>
      </c>
      <c r="R605" s="7" t="str">
        <f>IF(OR(LOWER(TRIM(tblbuyers[[#This Row],[Purchased Bike]]))="yes",LOWER(TRIM(tblbuyers[[#This Row],[Purchased Bike]]))="y"),"Yes","No")</f>
        <v>Yes</v>
      </c>
    </row>
    <row r="606" spans="1:18"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c r="O606">
        <f>COUNTBLANK(tblbuyers[Income])</f>
        <v>0</v>
      </c>
      <c r="P606" t="str">
        <f>IF(tblbuyers[[#This Row],[Age]]&lt;30,"&lt;30",IF(tblbuyers[[#This Row],[Age]]&lt;=45,"30-45",IF(tblbuyers[[#This Row],[Age]]&lt;=60,"46-60","60+")))</f>
        <v>&lt;30</v>
      </c>
      <c r="Q606" t="str">
        <f>IF(tblbuyers[[#This Row],[Income]]&lt;30000,"Low",IF(tblbuyers[[#This Row],[Income]]&lt;=70000,"Medium","High"))</f>
        <v>Medium</v>
      </c>
      <c r="R606" s="7" t="str">
        <f>IF(OR(LOWER(TRIM(tblbuyers[[#This Row],[Purchased Bike]]))="yes",LOWER(TRIM(tblbuyers[[#This Row],[Purchased Bike]]))="y"),"Yes","No")</f>
        <v>No</v>
      </c>
    </row>
    <row r="607" spans="1:18"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c r="O607">
        <f>COUNTBLANK(tblbuyers[Income])</f>
        <v>0</v>
      </c>
      <c r="P607" t="str">
        <f>IF(tblbuyers[[#This Row],[Age]]&lt;30,"&lt;30",IF(tblbuyers[[#This Row],[Age]]&lt;=45,"30-45",IF(tblbuyers[[#This Row],[Age]]&lt;=60,"46-60","60+")))</f>
        <v>46-60</v>
      </c>
      <c r="Q607" t="str">
        <f>IF(tblbuyers[[#This Row],[Income]]&lt;30000,"Low",IF(tblbuyers[[#This Row],[Income]]&lt;=70000,"Medium","High"))</f>
        <v>Medium</v>
      </c>
      <c r="R607" s="7" t="str">
        <f>IF(OR(LOWER(TRIM(tblbuyers[[#This Row],[Purchased Bike]]))="yes",LOWER(TRIM(tblbuyers[[#This Row],[Purchased Bike]]))="y"),"Yes","No")</f>
        <v>Yes</v>
      </c>
    </row>
    <row r="608" spans="1:18"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c r="O608">
        <f>COUNTBLANK(tblbuyers[Income])</f>
        <v>0</v>
      </c>
      <c r="P608" t="str">
        <f>IF(tblbuyers[[#This Row],[Age]]&lt;30,"&lt;30",IF(tblbuyers[[#This Row],[Age]]&lt;=45,"30-45",IF(tblbuyers[[#This Row],[Age]]&lt;=60,"46-60","60+")))</f>
        <v>30-45</v>
      </c>
      <c r="Q608" t="str">
        <f>IF(tblbuyers[[#This Row],[Income]]&lt;30000,"Low",IF(tblbuyers[[#This Row],[Income]]&lt;=70000,"Medium","High"))</f>
        <v>Medium</v>
      </c>
      <c r="R608" s="7" t="str">
        <f>IF(OR(LOWER(TRIM(tblbuyers[[#This Row],[Purchased Bike]]))="yes",LOWER(TRIM(tblbuyers[[#This Row],[Purchased Bike]]))="y"),"Yes","No")</f>
        <v>No</v>
      </c>
    </row>
    <row r="609" spans="1:18"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c r="O609">
        <f>COUNTBLANK(tblbuyers[Income])</f>
        <v>0</v>
      </c>
      <c r="P609" t="str">
        <f>IF(tblbuyers[[#This Row],[Age]]&lt;30,"&lt;30",IF(tblbuyers[[#This Row],[Age]]&lt;=45,"30-45",IF(tblbuyers[[#This Row],[Age]]&lt;=60,"46-60","60+")))</f>
        <v>46-60</v>
      </c>
      <c r="Q609" t="str">
        <f>IF(tblbuyers[[#This Row],[Income]]&lt;30000,"Low",IF(tblbuyers[[#This Row],[Income]]&lt;=70000,"Medium","High"))</f>
        <v>Medium</v>
      </c>
      <c r="R609" s="7" t="str">
        <f>IF(OR(LOWER(TRIM(tblbuyers[[#This Row],[Purchased Bike]]))="yes",LOWER(TRIM(tblbuyers[[#This Row],[Purchased Bike]]))="y"),"Yes","No")</f>
        <v>Yes</v>
      </c>
    </row>
    <row r="610" spans="1:18"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c r="O610">
        <f>COUNTBLANK(tblbuyers[Income])</f>
        <v>0</v>
      </c>
      <c r="P610" t="str">
        <f>IF(tblbuyers[[#This Row],[Age]]&lt;30,"&lt;30",IF(tblbuyers[[#This Row],[Age]]&lt;=45,"30-45",IF(tblbuyers[[#This Row],[Age]]&lt;=60,"46-60","60+")))</f>
        <v>46-60</v>
      </c>
      <c r="Q610" t="str">
        <f>IF(tblbuyers[[#This Row],[Income]]&lt;30000,"Low",IF(tblbuyers[[#This Row],[Income]]&lt;=70000,"Medium","High"))</f>
        <v>Medium</v>
      </c>
      <c r="R610" s="7" t="str">
        <f>IF(OR(LOWER(TRIM(tblbuyers[[#This Row],[Purchased Bike]]))="yes",LOWER(TRIM(tblbuyers[[#This Row],[Purchased Bike]]))="y"),"Yes","No")</f>
        <v>Yes</v>
      </c>
    </row>
    <row r="611" spans="1:18"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c r="O611">
        <f>COUNTBLANK(tblbuyers[Income])</f>
        <v>0</v>
      </c>
      <c r="P611" t="str">
        <f>IF(tblbuyers[[#This Row],[Age]]&lt;30,"&lt;30",IF(tblbuyers[[#This Row],[Age]]&lt;=45,"30-45",IF(tblbuyers[[#This Row],[Age]]&lt;=60,"46-60","60+")))</f>
        <v>30-45</v>
      </c>
      <c r="Q611" t="str">
        <f>IF(tblbuyers[[#This Row],[Income]]&lt;30000,"Low",IF(tblbuyers[[#This Row],[Income]]&lt;=70000,"Medium","High"))</f>
        <v>Medium</v>
      </c>
      <c r="R611" s="7" t="str">
        <f>IF(OR(LOWER(TRIM(tblbuyers[[#This Row],[Purchased Bike]]))="yes",LOWER(TRIM(tblbuyers[[#This Row],[Purchased Bike]]))="y"),"Yes","No")</f>
        <v>No</v>
      </c>
    </row>
    <row r="612" spans="1:18"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c r="O612">
        <f>COUNTBLANK(tblbuyers[Income])</f>
        <v>0</v>
      </c>
      <c r="P612" t="str">
        <f>IF(tblbuyers[[#This Row],[Age]]&lt;30,"&lt;30",IF(tblbuyers[[#This Row],[Age]]&lt;=45,"30-45",IF(tblbuyers[[#This Row],[Age]]&lt;=60,"46-60","60+")))</f>
        <v>30-45</v>
      </c>
      <c r="Q612" t="str">
        <f>IF(tblbuyers[[#This Row],[Income]]&lt;30000,"Low",IF(tblbuyers[[#This Row],[Income]]&lt;=70000,"Medium","High"))</f>
        <v>Medium</v>
      </c>
      <c r="R612" s="7" t="str">
        <f>IF(OR(LOWER(TRIM(tblbuyers[[#This Row],[Purchased Bike]]))="yes",LOWER(TRIM(tblbuyers[[#This Row],[Purchased Bike]]))="y"),"Yes","No")</f>
        <v>No</v>
      </c>
    </row>
    <row r="613" spans="1:18"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c r="O613">
        <f>COUNTBLANK(tblbuyers[Income])</f>
        <v>0</v>
      </c>
      <c r="P613" t="str">
        <f>IF(tblbuyers[[#This Row],[Age]]&lt;30,"&lt;30",IF(tblbuyers[[#This Row],[Age]]&lt;=45,"30-45",IF(tblbuyers[[#This Row],[Age]]&lt;=60,"46-60","60+")))</f>
        <v>30-45</v>
      </c>
      <c r="Q613" t="str">
        <f>IF(tblbuyers[[#This Row],[Income]]&lt;30000,"Low",IF(tblbuyers[[#This Row],[Income]]&lt;=70000,"Medium","High"))</f>
        <v>High</v>
      </c>
      <c r="R613" s="7" t="str">
        <f>IF(OR(LOWER(TRIM(tblbuyers[[#This Row],[Purchased Bike]]))="yes",LOWER(TRIM(tblbuyers[[#This Row],[Purchased Bike]]))="y"),"Yes","No")</f>
        <v>Yes</v>
      </c>
    </row>
    <row r="614" spans="1:18"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c r="O614">
        <f>COUNTBLANK(tblbuyers[Income])</f>
        <v>0</v>
      </c>
      <c r="P614" t="str">
        <f>IF(tblbuyers[[#This Row],[Age]]&lt;30,"&lt;30",IF(tblbuyers[[#This Row],[Age]]&lt;=45,"30-45",IF(tblbuyers[[#This Row],[Age]]&lt;=60,"46-60","60+")))</f>
        <v>&lt;30</v>
      </c>
      <c r="Q614" t="str">
        <f>IF(tblbuyers[[#This Row],[Income]]&lt;30000,"Low",IF(tblbuyers[[#This Row],[Income]]&lt;=70000,"Medium","High"))</f>
        <v>Medium</v>
      </c>
      <c r="R614" s="7" t="str">
        <f>IF(OR(LOWER(TRIM(tblbuyers[[#This Row],[Purchased Bike]]))="yes",LOWER(TRIM(tblbuyers[[#This Row],[Purchased Bike]]))="y"),"Yes","No")</f>
        <v>No</v>
      </c>
    </row>
    <row r="615" spans="1:18"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c r="O615">
        <f>COUNTBLANK(tblbuyers[Income])</f>
        <v>0</v>
      </c>
      <c r="P615" t="str">
        <f>IF(tblbuyers[[#This Row],[Age]]&lt;30,"&lt;30",IF(tblbuyers[[#This Row],[Age]]&lt;=45,"30-45",IF(tblbuyers[[#This Row],[Age]]&lt;=60,"46-60","60+")))</f>
        <v>30-45</v>
      </c>
      <c r="Q615" t="str">
        <f>IF(tblbuyers[[#This Row],[Income]]&lt;30000,"Low",IF(tblbuyers[[#This Row],[Income]]&lt;=70000,"Medium","High"))</f>
        <v>High</v>
      </c>
      <c r="R615" s="7" t="str">
        <f>IF(OR(LOWER(TRIM(tblbuyers[[#This Row],[Purchased Bike]]))="yes",LOWER(TRIM(tblbuyers[[#This Row],[Purchased Bike]]))="y"),"Yes","No")</f>
        <v>Yes</v>
      </c>
    </row>
    <row r="616" spans="1:18"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c r="O616">
        <f>COUNTBLANK(tblbuyers[Income])</f>
        <v>0</v>
      </c>
      <c r="P616" t="str">
        <f>IF(tblbuyers[[#This Row],[Age]]&lt;30,"&lt;30",IF(tblbuyers[[#This Row],[Age]]&lt;=45,"30-45",IF(tblbuyers[[#This Row],[Age]]&lt;=60,"46-60","60+")))</f>
        <v>30-45</v>
      </c>
      <c r="Q616" t="str">
        <f>IF(tblbuyers[[#This Row],[Income]]&lt;30000,"Low",IF(tblbuyers[[#This Row],[Income]]&lt;=70000,"Medium","High"))</f>
        <v>High</v>
      </c>
      <c r="R616" s="7" t="str">
        <f>IF(OR(LOWER(TRIM(tblbuyers[[#This Row],[Purchased Bike]]))="yes",LOWER(TRIM(tblbuyers[[#This Row],[Purchased Bike]]))="y"),"Yes","No")</f>
        <v>No</v>
      </c>
    </row>
    <row r="617" spans="1:18"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c r="O617">
        <f>COUNTBLANK(tblbuyers[Income])</f>
        <v>0</v>
      </c>
      <c r="P617" t="str">
        <f>IF(tblbuyers[[#This Row],[Age]]&lt;30,"&lt;30",IF(tblbuyers[[#This Row],[Age]]&lt;=45,"30-45",IF(tblbuyers[[#This Row],[Age]]&lt;=60,"46-60","60+")))</f>
        <v>46-60</v>
      </c>
      <c r="Q617" t="str">
        <f>IF(tblbuyers[[#This Row],[Income]]&lt;30000,"Low",IF(tblbuyers[[#This Row],[Income]]&lt;=70000,"Medium","High"))</f>
        <v>Medium</v>
      </c>
      <c r="R617" s="7" t="str">
        <f>IF(OR(LOWER(TRIM(tblbuyers[[#This Row],[Purchased Bike]]))="yes",LOWER(TRIM(tblbuyers[[#This Row],[Purchased Bike]]))="y"),"Yes","No")</f>
        <v>Yes</v>
      </c>
    </row>
    <row r="618" spans="1:18"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c r="O618">
        <f>COUNTBLANK(tblbuyers[Income])</f>
        <v>0</v>
      </c>
      <c r="P618" t="str">
        <f>IF(tblbuyers[[#This Row],[Age]]&lt;30,"&lt;30",IF(tblbuyers[[#This Row],[Age]]&lt;=45,"30-45",IF(tblbuyers[[#This Row],[Age]]&lt;=60,"46-60","60+")))</f>
        <v>46-60</v>
      </c>
      <c r="Q618" t="str">
        <f>IF(tblbuyers[[#This Row],[Income]]&lt;30000,"Low",IF(tblbuyers[[#This Row],[Income]]&lt;=70000,"Medium","High"))</f>
        <v>High</v>
      </c>
      <c r="R618" s="7" t="str">
        <f>IF(OR(LOWER(TRIM(tblbuyers[[#This Row],[Purchased Bike]]))="yes",LOWER(TRIM(tblbuyers[[#This Row],[Purchased Bike]]))="y"),"Yes","No")</f>
        <v>No</v>
      </c>
    </row>
    <row r="619" spans="1:18"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c r="O619">
        <f>COUNTBLANK(tblbuyers[Income])</f>
        <v>0</v>
      </c>
      <c r="P619" t="str">
        <f>IF(tblbuyers[[#This Row],[Age]]&lt;30,"&lt;30",IF(tblbuyers[[#This Row],[Age]]&lt;=45,"30-45",IF(tblbuyers[[#This Row],[Age]]&lt;=60,"46-60","60+")))</f>
        <v>30-45</v>
      </c>
      <c r="Q619" t="str">
        <f>IF(tblbuyers[[#This Row],[Income]]&lt;30000,"Low",IF(tblbuyers[[#This Row],[Income]]&lt;=70000,"Medium","High"))</f>
        <v>Medium</v>
      </c>
      <c r="R619" s="7" t="str">
        <f>IF(OR(LOWER(TRIM(tblbuyers[[#This Row],[Purchased Bike]]))="yes",LOWER(TRIM(tblbuyers[[#This Row],[Purchased Bike]]))="y"),"Yes","No")</f>
        <v>Yes</v>
      </c>
    </row>
    <row r="620" spans="1:18"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c r="O620">
        <f>COUNTBLANK(tblbuyers[Income])</f>
        <v>0</v>
      </c>
      <c r="P620" t="str">
        <f>IF(tblbuyers[[#This Row],[Age]]&lt;30,"&lt;30",IF(tblbuyers[[#This Row],[Age]]&lt;=45,"30-45",IF(tblbuyers[[#This Row],[Age]]&lt;=60,"46-60","60+")))</f>
        <v>46-60</v>
      </c>
      <c r="Q620" t="str">
        <f>IF(tblbuyers[[#This Row],[Income]]&lt;30000,"Low",IF(tblbuyers[[#This Row],[Income]]&lt;=70000,"Medium","High"))</f>
        <v>Low</v>
      </c>
      <c r="R620" s="7" t="str">
        <f>IF(OR(LOWER(TRIM(tblbuyers[[#This Row],[Purchased Bike]]))="yes",LOWER(TRIM(tblbuyers[[#This Row],[Purchased Bike]]))="y"),"Yes","No")</f>
        <v>No</v>
      </c>
    </row>
    <row r="621" spans="1:18"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c r="O621">
        <f>COUNTBLANK(tblbuyers[Income])</f>
        <v>0</v>
      </c>
      <c r="P621" t="str">
        <f>IF(tblbuyers[[#This Row],[Age]]&lt;30,"&lt;30",IF(tblbuyers[[#This Row],[Age]]&lt;=45,"30-45",IF(tblbuyers[[#This Row],[Age]]&lt;=60,"46-60","60+")))</f>
        <v>30-45</v>
      </c>
      <c r="Q621" t="str">
        <f>IF(tblbuyers[[#This Row],[Income]]&lt;30000,"Low",IF(tblbuyers[[#This Row],[Income]]&lt;=70000,"Medium","High"))</f>
        <v>Medium</v>
      </c>
      <c r="R621" s="7" t="str">
        <f>IF(OR(LOWER(TRIM(tblbuyers[[#This Row],[Purchased Bike]]))="yes",LOWER(TRIM(tblbuyers[[#This Row],[Purchased Bike]]))="y"),"Yes","No")</f>
        <v>No</v>
      </c>
    </row>
    <row r="622" spans="1:18"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c r="O622">
        <f>COUNTBLANK(tblbuyers[Income])</f>
        <v>0</v>
      </c>
      <c r="P622" t="str">
        <f>IF(tblbuyers[[#This Row],[Age]]&lt;30,"&lt;30",IF(tblbuyers[[#This Row],[Age]]&lt;=45,"30-45",IF(tblbuyers[[#This Row],[Age]]&lt;=60,"46-60","60+")))</f>
        <v>30-45</v>
      </c>
      <c r="Q622" t="str">
        <f>IF(tblbuyers[[#This Row],[Income]]&lt;30000,"Low",IF(tblbuyers[[#This Row],[Income]]&lt;=70000,"Medium","High"))</f>
        <v>High</v>
      </c>
      <c r="R622" s="7" t="str">
        <f>IF(OR(LOWER(TRIM(tblbuyers[[#This Row],[Purchased Bike]]))="yes",LOWER(TRIM(tblbuyers[[#This Row],[Purchased Bike]]))="y"),"Yes","No")</f>
        <v>Yes</v>
      </c>
    </row>
    <row r="623" spans="1:18"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c r="O623">
        <f>COUNTBLANK(tblbuyers[Income])</f>
        <v>0</v>
      </c>
      <c r="P623" t="str">
        <f>IF(tblbuyers[[#This Row],[Age]]&lt;30,"&lt;30",IF(tblbuyers[[#This Row],[Age]]&lt;=45,"30-45",IF(tblbuyers[[#This Row],[Age]]&lt;=60,"46-60","60+")))</f>
        <v>46-60</v>
      </c>
      <c r="Q623" t="str">
        <f>IF(tblbuyers[[#This Row],[Income]]&lt;30000,"Low",IF(tblbuyers[[#This Row],[Income]]&lt;=70000,"Medium","High"))</f>
        <v>Medium</v>
      </c>
      <c r="R623" s="7" t="str">
        <f>IF(OR(LOWER(TRIM(tblbuyers[[#This Row],[Purchased Bike]]))="yes",LOWER(TRIM(tblbuyers[[#This Row],[Purchased Bike]]))="y"),"Yes","No")</f>
        <v>No</v>
      </c>
    </row>
    <row r="624" spans="1:18"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c r="O624">
        <f>COUNTBLANK(tblbuyers[Income])</f>
        <v>0</v>
      </c>
      <c r="P624" t="str">
        <f>IF(tblbuyers[[#This Row],[Age]]&lt;30,"&lt;30",IF(tblbuyers[[#This Row],[Age]]&lt;=45,"30-45",IF(tblbuyers[[#This Row],[Age]]&lt;=60,"46-60","60+")))</f>
        <v>46-60</v>
      </c>
      <c r="Q624" t="str">
        <f>IF(tblbuyers[[#This Row],[Income]]&lt;30000,"Low",IF(tblbuyers[[#This Row],[Income]]&lt;=70000,"Medium","High"))</f>
        <v>Medium</v>
      </c>
      <c r="R624" s="7" t="str">
        <f>IF(OR(LOWER(TRIM(tblbuyers[[#This Row],[Purchased Bike]]))="yes",LOWER(TRIM(tblbuyers[[#This Row],[Purchased Bike]]))="y"),"Yes","No")</f>
        <v>No</v>
      </c>
    </row>
    <row r="625" spans="1:18"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c r="O625">
        <f>COUNTBLANK(tblbuyers[Income])</f>
        <v>0</v>
      </c>
      <c r="P625" t="str">
        <f>IF(tblbuyers[[#This Row],[Age]]&lt;30,"&lt;30",IF(tblbuyers[[#This Row],[Age]]&lt;=45,"30-45",IF(tblbuyers[[#This Row],[Age]]&lt;=60,"46-60","60+")))</f>
        <v>46-60</v>
      </c>
      <c r="Q625" t="str">
        <f>IF(tblbuyers[[#This Row],[Income]]&lt;30000,"Low",IF(tblbuyers[[#This Row],[Income]]&lt;=70000,"Medium","High"))</f>
        <v>Medium</v>
      </c>
      <c r="R625" s="7" t="str">
        <f>IF(OR(LOWER(TRIM(tblbuyers[[#This Row],[Purchased Bike]]))="yes",LOWER(TRIM(tblbuyers[[#This Row],[Purchased Bike]]))="y"),"Yes","No")</f>
        <v>No</v>
      </c>
    </row>
    <row r="626" spans="1:18"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c r="O626">
        <f>COUNTBLANK(tblbuyers[Income])</f>
        <v>0</v>
      </c>
      <c r="P626" t="str">
        <f>IF(tblbuyers[[#This Row],[Age]]&lt;30,"&lt;30",IF(tblbuyers[[#This Row],[Age]]&lt;=45,"30-45",IF(tblbuyers[[#This Row],[Age]]&lt;=60,"46-60","60+")))</f>
        <v>&lt;30</v>
      </c>
      <c r="Q626" t="str">
        <f>IF(tblbuyers[[#This Row],[Income]]&lt;30000,"Low",IF(tblbuyers[[#This Row],[Income]]&lt;=70000,"Medium","High"))</f>
        <v>Medium</v>
      </c>
      <c r="R626" s="7" t="str">
        <f>IF(OR(LOWER(TRIM(tblbuyers[[#This Row],[Purchased Bike]]))="yes",LOWER(TRIM(tblbuyers[[#This Row],[Purchased Bike]]))="y"),"Yes","No")</f>
        <v>Yes</v>
      </c>
    </row>
    <row r="627" spans="1:18"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c r="O627">
        <f>COUNTBLANK(tblbuyers[Income])</f>
        <v>0</v>
      </c>
      <c r="P627" t="str">
        <f>IF(tblbuyers[[#This Row],[Age]]&lt;30,"&lt;30",IF(tblbuyers[[#This Row],[Age]]&lt;=45,"30-45",IF(tblbuyers[[#This Row],[Age]]&lt;=60,"46-60","60+")))</f>
        <v>60+</v>
      </c>
      <c r="Q627" t="str">
        <f>IF(tblbuyers[[#This Row],[Income]]&lt;30000,"Low",IF(tblbuyers[[#This Row],[Income]]&lt;=70000,"Medium","High"))</f>
        <v>Medium</v>
      </c>
      <c r="R627" s="7" t="str">
        <f>IF(OR(LOWER(TRIM(tblbuyers[[#This Row],[Purchased Bike]]))="yes",LOWER(TRIM(tblbuyers[[#This Row],[Purchased Bike]]))="y"),"Yes","No")</f>
        <v>No</v>
      </c>
    </row>
    <row r="628" spans="1:18"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c r="O628">
        <f>COUNTBLANK(tblbuyers[Income])</f>
        <v>0</v>
      </c>
      <c r="P628" t="str">
        <f>IF(tblbuyers[[#This Row],[Age]]&lt;30,"&lt;30",IF(tblbuyers[[#This Row],[Age]]&lt;=45,"30-45",IF(tblbuyers[[#This Row],[Age]]&lt;=60,"46-60","60+")))</f>
        <v>&lt;30</v>
      </c>
      <c r="Q628" t="str">
        <f>IF(tblbuyers[[#This Row],[Income]]&lt;30000,"Low",IF(tblbuyers[[#This Row],[Income]]&lt;=70000,"Medium","High"))</f>
        <v>Medium</v>
      </c>
      <c r="R628" s="7" t="str">
        <f>IF(OR(LOWER(TRIM(tblbuyers[[#This Row],[Purchased Bike]]))="yes",LOWER(TRIM(tblbuyers[[#This Row],[Purchased Bike]]))="y"),"Yes","No")</f>
        <v>No</v>
      </c>
    </row>
    <row r="629" spans="1:18"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c r="O629">
        <f>COUNTBLANK(tblbuyers[Income])</f>
        <v>0</v>
      </c>
      <c r="P629" t="str">
        <f>IF(tblbuyers[[#This Row],[Age]]&lt;30,"&lt;30",IF(tblbuyers[[#This Row],[Age]]&lt;=45,"30-45",IF(tblbuyers[[#This Row],[Age]]&lt;=60,"46-60","60+")))</f>
        <v>60+</v>
      </c>
      <c r="Q629" t="str">
        <f>IF(tblbuyers[[#This Row],[Income]]&lt;30000,"Low",IF(tblbuyers[[#This Row],[Income]]&lt;=70000,"Medium","High"))</f>
        <v>Medium</v>
      </c>
      <c r="R629" s="7" t="str">
        <f>IF(OR(LOWER(TRIM(tblbuyers[[#This Row],[Purchased Bike]]))="yes",LOWER(TRIM(tblbuyers[[#This Row],[Purchased Bike]]))="y"),"Yes","No")</f>
        <v>No</v>
      </c>
    </row>
    <row r="630" spans="1:18"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c r="O630">
        <f>COUNTBLANK(tblbuyers[Income])</f>
        <v>0</v>
      </c>
      <c r="P630" t="str">
        <f>IF(tblbuyers[[#This Row],[Age]]&lt;30,"&lt;30",IF(tblbuyers[[#This Row],[Age]]&lt;=45,"30-45",IF(tblbuyers[[#This Row],[Age]]&lt;=60,"46-60","60+")))</f>
        <v>46-60</v>
      </c>
      <c r="Q630" t="str">
        <f>IF(tblbuyers[[#This Row],[Income]]&lt;30000,"Low",IF(tblbuyers[[#This Row],[Income]]&lt;=70000,"Medium","High"))</f>
        <v>High</v>
      </c>
      <c r="R630" s="7" t="str">
        <f>IF(OR(LOWER(TRIM(tblbuyers[[#This Row],[Purchased Bike]]))="yes",LOWER(TRIM(tblbuyers[[#This Row],[Purchased Bike]]))="y"),"Yes","No")</f>
        <v>Yes</v>
      </c>
    </row>
    <row r="631" spans="1:18"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c r="O631">
        <f>COUNTBLANK(tblbuyers[Income])</f>
        <v>0</v>
      </c>
      <c r="P631" t="str">
        <f>IF(tblbuyers[[#This Row],[Age]]&lt;30,"&lt;30",IF(tblbuyers[[#This Row],[Age]]&lt;=45,"30-45",IF(tblbuyers[[#This Row],[Age]]&lt;=60,"46-60","60+")))</f>
        <v>30-45</v>
      </c>
      <c r="Q631" t="str">
        <f>IF(tblbuyers[[#This Row],[Income]]&lt;30000,"Low",IF(tblbuyers[[#This Row],[Income]]&lt;=70000,"Medium","High"))</f>
        <v>Medium</v>
      </c>
      <c r="R631" s="7" t="str">
        <f>IF(OR(LOWER(TRIM(tblbuyers[[#This Row],[Purchased Bike]]))="yes",LOWER(TRIM(tblbuyers[[#This Row],[Purchased Bike]]))="y"),"Yes","No")</f>
        <v>No</v>
      </c>
    </row>
    <row r="632" spans="1:18"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c r="O632">
        <f>COUNTBLANK(tblbuyers[Income])</f>
        <v>0</v>
      </c>
      <c r="P632" t="str">
        <f>IF(tblbuyers[[#This Row],[Age]]&lt;30,"&lt;30",IF(tblbuyers[[#This Row],[Age]]&lt;=45,"30-45",IF(tblbuyers[[#This Row],[Age]]&lt;=60,"46-60","60+")))</f>
        <v>30-45</v>
      </c>
      <c r="Q632" t="str">
        <f>IF(tblbuyers[[#This Row],[Income]]&lt;30000,"Low",IF(tblbuyers[[#This Row],[Income]]&lt;=70000,"Medium","High"))</f>
        <v>Medium</v>
      </c>
      <c r="R632" s="7" t="str">
        <f>IF(OR(LOWER(TRIM(tblbuyers[[#This Row],[Purchased Bike]]))="yes",LOWER(TRIM(tblbuyers[[#This Row],[Purchased Bike]]))="y"),"Yes","No")</f>
        <v>No</v>
      </c>
    </row>
    <row r="633" spans="1:18"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c r="O633">
        <f>COUNTBLANK(tblbuyers[Income])</f>
        <v>0</v>
      </c>
      <c r="P633" t="str">
        <f>IF(tblbuyers[[#This Row],[Age]]&lt;30,"&lt;30",IF(tblbuyers[[#This Row],[Age]]&lt;=45,"30-45",IF(tblbuyers[[#This Row],[Age]]&lt;=60,"46-60","60+")))</f>
        <v>30-45</v>
      </c>
      <c r="Q633" t="str">
        <f>IF(tblbuyers[[#This Row],[Income]]&lt;30000,"Low",IF(tblbuyers[[#This Row],[Income]]&lt;=70000,"Medium","High"))</f>
        <v>Medium</v>
      </c>
      <c r="R633" s="7" t="str">
        <f>IF(OR(LOWER(TRIM(tblbuyers[[#This Row],[Purchased Bike]]))="yes",LOWER(TRIM(tblbuyers[[#This Row],[Purchased Bike]]))="y"),"Yes","No")</f>
        <v>No</v>
      </c>
    </row>
    <row r="634" spans="1:18"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c r="O634">
        <f>COUNTBLANK(tblbuyers[Income])</f>
        <v>0</v>
      </c>
      <c r="P634" t="str">
        <f>IF(tblbuyers[[#This Row],[Age]]&lt;30,"&lt;30",IF(tblbuyers[[#This Row],[Age]]&lt;=45,"30-45",IF(tblbuyers[[#This Row],[Age]]&lt;=60,"46-60","60+")))</f>
        <v>46-60</v>
      </c>
      <c r="Q634" t="str">
        <f>IF(tblbuyers[[#This Row],[Income]]&lt;30000,"Low",IF(tblbuyers[[#This Row],[Income]]&lt;=70000,"Medium","High"))</f>
        <v>High</v>
      </c>
      <c r="R634" s="7" t="str">
        <f>IF(OR(LOWER(TRIM(tblbuyers[[#This Row],[Purchased Bike]]))="yes",LOWER(TRIM(tblbuyers[[#This Row],[Purchased Bike]]))="y"),"Yes","No")</f>
        <v>No</v>
      </c>
    </row>
    <row r="635" spans="1:18"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c r="O635">
        <f>COUNTBLANK(tblbuyers[Income])</f>
        <v>0</v>
      </c>
      <c r="P635" t="str">
        <f>IF(tblbuyers[[#This Row],[Age]]&lt;30,"&lt;30",IF(tblbuyers[[#This Row],[Age]]&lt;=45,"30-45",IF(tblbuyers[[#This Row],[Age]]&lt;=60,"46-60","60+")))</f>
        <v>30-45</v>
      </c>
      <c r="Q635" t="str">
        <f>IF(tblbuyers[[#This Row],[Income]]&lt;30000,"Low",IF(tblbuyers[[#This Row],[Income]]&lt;=70000,"Medium","High"))</f>
        <v>High</v>
      </c>
      <c r="R635" s="7" t="str">
        <f>IF(OR(LOWER(TRIM(tblbuyers[[#This Row],[Purchased Bike]]))="yes",LOWER(TRIM(tblbuyers[[#This Row],[Purchased Bike]]))="y"),"Yes","No")</f>
        <v>Yes</v>
      </c>
    </row>
    <row r="636" spans="1:18"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c r="O636">
        <f>COUNTBLANK(tblbuyers[Income])</f>
        <v>0</v>
      </c>
      <c r="P636" t="str">
        <f>IF(tblbuyers[[#This Row],[Age]]&lt;30,"&lt;30",IF(tblbuyers[[#This Row],[Age]]&lt;=45,"30-45",IF(tblbuyers[[#This Row],[Age]]&lt;=60,"46-60","60+")))</f>
        <v>60+</v>
      </c>
      <c r="Q636" t="str">
        <f>IF(tblbuyers[[#This Row],[Income]]&lt;30000,"Low",IF(tblbuyers[[#This Row],[Income]]&lt;=70000,"Medium","High"))</f>
        <v>Medium</v>
      </c>
      <c r="R636" s="7" t="str">
        <f>IF(OR(LOWER(TRIM(tblbuyers[[#This Row],[Purchased Bike]]))="yes",LOWER(TRIM(tblbuyers[[#This Row],[Purchased Bike]]))="y"),"Yes","No")</f>
        <v>No</v>
      </c>
    </row>
    <row r="637" spans="1:18"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c r="O637">
        <f>COUNTBLANK(tblbuyers[Income])</f>
        <v>0</v>
      </c>
      <c r="P637" t="str">
        <f>IF(tblbuyers[[#This Row],[Age]]&lt;30,"&lt;30",IF(tblbuyers[[#This Row],[Age]]&lt;=45,"30-45",IF(tblbuyers[[#This Row],[Age]]&lt;=60,"46-60","60+")))</f>
        <v>46-60</v>
      </c>
      <c r="Q637" t="str">
        <f>IF(tblbuyers[[#This Row],[Income]]&lt;30000,"Low",IF(tblbuyers[[#This Row],[Income]]&lt;=70000,"Medium","High"))</f>
        <v>Medium</v>
      </c>
      <c r="R637" s="7" t="str">
        <f>IF(OR(LOWER(TRIM(tblbuyers[[#This Row],[Purchased Bike]]))="yes",LOWER(TRIM(tblbuyers[[#This Row],[Purchased Bike]]))="y"),"Yes","No")</f>
        <v>No</v>
      </c>
    </row>
    <row r="638" spans="1:18"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c r="O638">
        <f>COUNTBLANK(tblbuyers[Income])</f>
        <v>0</v>
      </c>
      <c r="P638" t="str">
        <f>IF(tblbuyers[[#This Row],[Age]]&lt;30,"&lt;30",IF(tblbuyers[[#This Row],[Age]]&lt;=45,"30-45",IF(tblbuyers[[#This Row],[Age]]&lt;=60,"46-60","60+")))</f>
        <v>30-45</v>
      </c>
      <c r="Q638" t="str">
        <f>IF(tblbuyers[[#This Row],[Income]]&lt;30000,"Low",IF(tblbuyers[[#This Row],[Income]]&lt;=70000,"Medium","High"))</f>
        <v>High</v>
      </c>
      <c r="R638" s="7" t="str">
        <f>IF(OR(LOWER(TRIM(tblbuyers[[#This Row],[Purchased Bike]]))="yes",LOWER(TRIM(tblbuyers[[#This Row],[Purchased Bike]]))="y"),"Yes","No")</f>
        <v>Yes</v>
      </c>
    </row>
    <row r="639" spans="1:18"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c r="O639">
        <f>COUNTBLANK(tblbuyers[Income])</f>
        <v>0</v>
      </c>
      <c r="P639" t="str">
        <f>IF(tblbuyers[[#This Row],[Age]]&lt;30,"&lt;30",IF(tblbuyers[[#This Row],[Age]]&lt;=45,"30-45",IF(tblbuyers[[#This Row],[Age]]&lt;=60,"46-60","60+")))</f>
        <v>30-45</v>
      </c>
      <c r="Q639" t="str">
        <f>IF(tblbuyers[[#This Row],[Income]]&lt;30000,"Low",IF(tblbuyers[[#This Row],[Income]]&lt;=70000,"Medium","High"))</f>
        <v>Medium</v>
      </c>
      <c r="R639" s="7" t="str">
        <f>IF(OR(LOWER(TRIM(tblbuyers[[#This Row],[Purchased Bike]]))="yes",LOWER(TRIM(tblbuyers[[#This Row],[Purchased Bike]]))="y"),"Yes","No")</f>
        <v>No</v>
      </c>
    </row>
    <row r="640" spans="1:18"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c r="O640">
        <f>COUNTBLANK(tblbuyers[Income])</f>
        <v>0</v>
      </c>
      <c r="P640" t="str">
        <f>IF(tblbuyers[[#This Row],[Age]]&lt;30,"&lt;30",IF(tblbuyers[[#This Row],[Age]]&lt;=45,"30-45",IF(tblbuyers[[#This Row],[Age]]&lt;=60,"46-60","60+")))</f>
        <v>60+</v>
      </c>
      <c r="Q640" t="str">
        <f>IF(tblbuyers[[#This Row],[Income]]&lt;30000,"Low",IF(tblbuyers[[#This Row],[Income]]&lt;=70000,"Medium","High"))</f>
        <v>Medium</v>
      </c>
      <c r="R640" s="7" t="str">
        <f>IF(OR(LOWER(TRIM(tblbuyers[[#This Row],[Purchased Bike]]))="yes",LOWER(TRIM(tblbuyers[[#This Row],[Purchased Bike]]))="y"),"Yes","No")</f>
        <v>Yes</v>
      </c>
    </row>
    <row r="641" spans="1:18"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c r="O641">
        <f>COUNTBLANK(tblbuyers[Income])</f>
        <v>0</v>
      </c>
      <c r="P641" t="str">
        <f>IF(tblbuyers[[#This Row],[Age]]&lt;30,"&lt;30",IF(tblbuyers[[#This Row],[Age]]&lt;=45,"30-45",IF(tblbuyers[[#This Row],[Age]]&lt;=60,"46-60","60+")))</f>
        <v>60+</v>
      </c>
      <c r="Q641" t="str">
        <f>IF(tblbuyers[[#This Row],[Income]]&lt;30000,"Low",IF(tblbuyers[[#This Row],[Income]]&lt;=70000,"Medium","High"))</f>
        <v>High</v>
      </c>
      <c r="R641" s="7" t="str">
        <f>IF(OR(LOWER(TRIM(tblbuyers[[#This Row],[Purchased Bike]]))="yes",LOWER(TRIM(tblbuyers[[#This Row],[Purchased Bike]]))="y"),"Yes","No")</f>
        <v>No</v>
      </c>
    </row>
    <row r="642" spans="1:18"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c r="O642">
        <f>COUNTBLANK(tblbuyers[Income])</f>
        <v>0</v>
      </c>
      <c r="P642" t="str">
        <f>IF(tblbuyers[[#This Row],[Age]]&lt;30,"&lt;30",IF(tblbuyers[[#This Row],[Age]]&lt;=45,"30-45",IF(tblbuyers[[#This Row],[Age]]&lt;=60,"46-60","60+")))</f>
        <v>46-60</v>
      </c>
      <c r="Q642" t="str">
        <f>IF(tblbuyers[[#This Row],[Income]]&lt;30000,"Low",IF(tblbuyers[[#This Row],[Income]]&lt;=70000,"Medium","High"))</f>
        <v>Medium</v>
      </c>
      <c r="R642" s="7" t="str">
        <f>IF(OR(LOWER(TRIM(tblbuyers[[#This Row],[Purchased Bike]]))="yes",LOWER(TRIM(tblbuyers[[#This Row],[Purchased Bike]]))="y"),"Yes","No")</f>
        <v>Yes</v>
      </c>
    </row>
    <row r="643" spans="1:18" x14ac:dyDescent="0.25">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Age",IF(L643&lt;31, "Adolescent","Invalid")))</f>
        <v>Old</v>
      </c>
      <c r="N643" t="s">
        <v>18</v>
      </c>
      <c r="O643">
        <f>COUNTBLANK(tblbuyers[Income])</f>
        <v>0</v>
      </c>
      <c r="P643" t="str">
        <f>IF(tblbuyers[[#This Row],[Age]]&lt;30,"&lt;30",IF(tblbuyers[[#This Row],[Age]]&lt;=45,"30-45",IF(tblbuyers[[#This Row],[Age]]&lt;=60,"46-60","60+")))</f>
        <v>60+</v>
      </c>
      <c r="Q643" t="str">
        <f>IF(tblbuyers[[#This Row],[Income]]&lt;30000,"Low",IF(tblbuyers[[#This Row],[Income]]&lt;=70000,"Medium","High"))</f>
        <v>Medium</v>
      </c>
      <c r="R643" s="7" t="str">
        <f>IF(OR(LOWER(TRIM(tblbuyers[[#This Row],[Purchased Bike]]))="yes",LOWER(TRIM(tblbuyers[[#This Row],[Purchased Bike]]))="y"),"Yes","No")</f>
        <v>No</v>
      </c>
    </row>
    <row r="644" spans="1:18"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c r="O644">
        <f>COUNTBLANK(tblbuyers[Income])</f>
        <v>0</v>
      </c>
      <c r="P644" t="str">
        <f>IF(tblbuyers[[#This Row],[Age]]&lt;30,"&lt;30",IF(tblbuyers[[#This Row],[Age]]&lt;=45,"30-45",IF(tblbuyers[[#This Row],[Age]]&lt;=60,"46-60","60+")))</f>
        <v>46-60</v>
      </c>
      <c r="Q644" t="str">
        <f>IF(tblbuyers[[#This Row],[Income]]&lt;30000,"Low",IF(tblbuyers[[#This Row],[Income]]&lt;=70000,"Medium","High"))</f>
        <v>Medium</v>
      </c>
      <c r="R644" s="7" t="str">
        <f>IF(OR(LOWER(TRIM(tblbuyers[[#This Row],[Purchased Bike]]))="yes",LOWER(TRIM(tblbuyers[[#This Row],[Purchased Bike]]))="y"),"Yes","No")</f>
        <v>Yes</v>
      </c>
    </row>
    <row r="645" spans="1:18"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c r="O645">
        <f>COUNTBLANK(tblbuyers[Income])</f>
        <v>0</v>
      </c>
      <c r="P645" t="str">
        <f>IF(tblbuyers[[#This Row],[Age]]&lt;30,"&lt;30",IF(tblbuyers[[#This Row],[Age]]&lt;=45,"30-45",IF(tblbuyers[[#This Row],[Age]]&lt;=60,"46-60","60+")))</f>
        <v>30-45</v>
      </c>
      <c r="Q645" t="str">
        <f>IF(tblbuyers[[#This Row],[Income]]&lt;30000,"Low",IF(tblbuyers[[#This Row],[Income]]&lt;=70000,"Medium","High"))</f>
        <v>Medium</v>
      </c>
      <c r="R645" s="7" t="str">
        <f>IF(OR(LOWER(TRIM(tblbuyers[[#This Row],[Purchased Bike]]))="yes",LOWER(TRIM(tblbuyers[[#This Row],[Purchased Bike]]))="y"),"Yes","No")</f>
        <v>Yes</v>
      </c>
    </row>
    <row r="646" spans="1:18" x14ac:dyDescent="0.25">
      <c r="A646">
        <v>23368</v>
      </c>
      <c r="B646" t="s">
        <v>36</v>
      </c>
      <c r="C646" t="s">
        <v>38</v>
      </c>
      <c r="D646" s="3">
        <v>60000</v>
      </c>
      <c r="E646">
        <v>5</v>
      </c>
      <c r="F646" t="s">
        <v>13</v>
      </c>
      <c r="G646" t="s">
        <v>14</v>
      </c>
      <c r="H646" t="s">
        <v>15</v>
      </c>
      <c r="I646">
        <v>3</v>
      </c>
      <c r="J646" t="s">
        <v>30</v>
      </c>
      <c r="K646" t="s">
        <v>32</v>
      </c>
      <c r="L646">
        <v>41</v>
      </c>
      <c r="M646" t="str">
        <f t="shared" si="10"/>
        <v>Middle Age</v>
      </c>
      <c r="N646" t="s">
        <v>18</v>
      </c>
      <c r="O646">
        <f>COUNTBLANK(tblbuyers[Income])</f>
        <v>0</v>
      </c>
      <c r="P646" t="str">
        <f>IF(tblbuyers[[#This Row],[Age]]&lt;30,"&lt;30",IF(tblbuyers[[#This Row],[Age]]&lt;=45,"30-45",IF(tblbuyers[[#This Row],[Age]]&lt;=60,"46-60","60+")))</f>
        <v>30-45</v>
      </c>
      <c r="Q646" t="str">
        <f>IF(tblbuyers[[#This Row],[Income]]&lt;30000,"Low",IF(tblbuyers[[#This Row],[Income]]&lt;=70000,"Medium","High"))</f>
        <v>Medium</v>
      </c>
      <c r="R646" s="7" t="str">
        <f>IF(OR(LOWER(TRIM(tblbuyers[[#This Row],[Purchased Bike]]))="yes",LOWER(TRIM(tblbuyers[[#This Row],[Purchased Bike]]))="y"),"Yes","No")</f>
        <v>No</v>
      </c>
    </row>
    <row r="647" spans="1:18"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c r="O647">
        <f>COUNTBLANK(tblbuyers[Income])</f>
        <v>0</v>
      </c>
      <c r="P647" t="str">
        <f>IF(tblbuyers[[#This Row],[Age]]&lt;30,"&lt;30",IF(tblbuyers[[#This Row],[Age]]&lt;=45,"30-45",IF(tblbuyers[[#This Row],[Age]]&lt;=60,"46-60","60+")))</f>
        <v>30-45</v>
      </c>
      <c r="Q647" t="str">
        <f>IF(tblbuyers[[#This Row],[Income]]&lt;30000,"Low",IF(tblbuyers[[#This Row],[Income]]&lt;=70000,"Medium","High"))</f>
        <v>Medium</v>
      </c>
      <c r="R647" s="7" t="str">
        <f>IF(OR(LOWER(TRIM(tblbuyers[[#This Row],[Purchased Bike]]))="yes",LOWER(TRIM(tblbuyers[[#This Row],[Purchased Bike]]))="y"),"Yes","No")</f>
        <v>No</v>
      </c>
    </row>
    <row r="648" spans="1:18"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c r="O648">
        <f>COUNTBLANK(tblbuyers[Income])</f>
        <v>0</v>
      </c>
      <c r="P648" t="str">
        <f>IF(tblbuyers[[#This Row],[Age]]&lt;30,"&lt;30",IF(tblbuyers[[#This Row],[Age]]&lt;=45,"30-45",IF(tblbuyers[[#This Row],[Age]]&lt;=60,"46-60","60+")))</f>
        <v>46-60</v>
      </c>
      <c r="Q648" t="str">
        <f>IF(tblbuyers[[#This Row],[Income]]&lt;30000,"Low",IF(tblbuyers[[#This Row],[Income]]&lt;=70000,"Medium","High"))</f>
        <v>Medium</v>
      </c>
      <c r="R648" s="7" t="str">
        <f>IF(OR(LOWER(TRIM(tblbuyers[[#This Row],[Purchased Bike]]))="yes",LOWER(TRIM(tblbuyers[[#This Row],[Purchased Bike]]))="y"),"Yes","No")</f>
        <v>No</v>
      </c>
    </row>
    <row r="649" spans="1:18"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c r="O649">
        <f>COUNTBLANK(tblbuyers[Income])</f>
        <v>0</v>
      </c>
      <c r="P649" t="str">
        <f>IF(tblbuyers[[#This Row],[Age]]&lt;30,"&lt;30",IF(tblbuyers[[#This Row],[Age]]&lt;=45,"30-45",IF(tblbuyers[[#This Row],[Age]]&lt;=60,"46-60","60+")))</f>
        <v>30-45</v>
      </c>
      <c r="Q649" t="str">
        <f>IF(tblbuyers[[#This Row],[Income]]&lt;30000,"Low",IF(tblbuyers[[#This Row],[Income]]&lt;=70000,"Medium","High"))</f>
        <v>Medium</v>
      </c>
      <c r="R649" s="7" t="str">
        <f>IF(OR(LOWER(TRIM(tblbuyers[[#This Row],[Purchased Bike]]))="yes",LOWER(TRIM(tblbuyers[[#This Row],[Purchased Bike]]))="y"),"Yes","No")</f>
        <v>No</v>
      </c>
    </row>
    <row r="650" spans="1:18"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c r="O650">
        <f>COUNTBLANK(tblbuyers[Income])</f>
        <v>0</v>
      </c>
      <c r="P650" t="str">
        <f>IF(tblbuyers[[#This Row],[Age]]&lt;30,"&lt;30",IF(tblbuyers[[#This Row],[Age]]&lt;=45,"30-45",IF(tblbuyers[[#This Row],[Age]]&lt;=60,"46-60","60+")))</f>
        <v>46-60</v>
      </c>
      <c r="Q650" t="str">
        <f>IF(tblbuyers[[#This Row],[Income]]&lt;30000,"Low",IF(tblbuyers[[#This Row],[Income]]&lt;=70000,"Medium","High"))</f>
        <v>Medium</v>
      </c>
      <c r="R650" s="7" t="str">
        <f>IF(OR(LOWER(TRIM(tblbuyers[[#This Row],[Purchased Bike]]))="yes",LOWER(TRIM(tblbuyers[[#This Row],[Purchased Bike]]))="y"),"Yes","No")</f>
        <v>Yes</v>
      </c>
    </row>
    <row r="651" spans="1:18"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c r="O651">
        <f>COUNTBLANK(tblbuyers[Income])</f>
        <v>0</v>
      </c>
      <c r="P651" t="str">
        <f>IF(tblbuyers[[#This Row],[Age]]&lt;30,"&lt;30",IF(tblbuyers[[#This Row],[Age]]&lt;=45,"30-45",IF(tblbuyers[[#This Row],[Age]]&lt;=60,"46-60","60+")))</f>
        <v>30-45</v>
      </c>
      <c r="Q651" t="str">
        <f>IF(tblbuyers[[#This Row],[Income]]&lt;30000,"Low",IF(tblbuyers[[#This Row],[Income]]&lt;=70000,"Medium","High"))</f>
        <v>Medium</v>
      </c>
      <c r="R651" s="7" t="str">
        <f>IF(OR(LOWER(TRIM(tblbuyers[[#This Row],[Purchased Bike]]))="yes",LOWER(TRIM(tblbuyers[[#This Row],[Purchased Bike]]))="y"),"Yes","No")</f>
        <v>Yes</v>
      </c>
    </row>
    <row r="652" spans="1:18"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c r="O652">
        <f>COUNTBLANK(tblbuyers[Income])</f>
        <v>0</v>
      </c>
      <c r="P652" t="str">
        <f>IF(tblbuyers[[#This Row],[Age]]&lt;30,"&lt;30",IF(tblbuyers[[#This Row],[Age]]&lt;=45,"30-45",IF(tblbuyers[[#This Row],[Age]]&lt;=60,"46-60","60+")))</f>
        <v>60+</v>
      </c>
      <c r="Q652" t="str">
        <f>IF(tblbuyers[[#This Row],[Income]]&lt;30000,"Low",IF(tblbuyers[[#This Row],[Income]]&lt;=70000,"Medium","High"))</f>
        <v>Medium</v>
      </c>
      <c r="R652" s="7" t="str">
        <f>IF(OR(LOWER(TRIM(tblbuyers[[#This Row],[Purchased Bike]]))="yes",LOWER(TRIM(tblbuyers[[#This Row],[Purchased Bike]]))="y"),"Yes","No")</f>
        <v>Yes</v>
      </c>
    </row>
    <row r="653" spans="1:18"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c r="O653">
        <f>COUNTBLANK(tblbuyers[Income])</f>
        <v>0</v>
      </c>
      <c r="P653" t="str">
        <f>IF(tblbuyers[[#This Row],[Age]]&lt;30,"&lt;30",IF(tblbuyers[[#This Row],[Age]]&lt;=45,"30-45",IF(tblbuyers[[#This Row],[Age]]&lt;=60,"46-60","60+")))</f>
        <v>30-45</v>
      </c>
      <c r="Q653" t="str">
        <f>IF(tblbuyers[[#This Row],[Income]]&lt;30000,"Low",IF(tblbuyers[[#This Row],[Income]]&lt;=70000,"Medium","High"))</f>
        <v>Medium</v>
      </c>
      <c r="R653" s="7" t="str">
        <f>IF(OR(LOWER(TRIM(tblbuyers[[#This Row],[Purchased Bike]]))="yes",LOWER(TRIM(tblbuyers[[#This Row],[Purchased Bike]]))="y"),"Yes","No")</f>
        <v>Yes</v>
      </c>
    </row>
    <row r="654" spans="1:18"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c r="O654">
        <f>COUNTBLANK(tblbuyers[Income])</f>
        <v>0</v>
      </c>
      <c r="P654" t="str">
        <f>IF(tblbuyers[[#This Row],[Age]]&lt;30,"&lt;30",IF(tblbuyers[[#This Row],[Age]]&lt;=45,"30-45",IF(tblbuyers[[#This Row],[Age]]&lt;=60,"46-60","60+")))</f>
        <v>30-45</v>
      </c>
      <c r="Q654" t="str">
        <f>IF(tblbuyers[[#This Row],[Income]]&lt;30000,"Low",IF(tblbuyers[[#This Row],[Income]]&lt;=70000,"Medium","High"))</f>
        <v>Medium</v>
      </c>
      <c r="R654" s="7" t="str">
        <f>IF(OR(LOWER(TRIM(tblbuyers[[#This Row],[Purchased Bike]]))="yes",LOWER(TRIM(tblbuyers[[#This Row],[Purchased Bike]]))="y"),"Yes","No")</f>
        <v>No</v>
      </c>
    </row>
    <row r="655" spans="1:18"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c r="O655">
        <f>COUNTBLANK(tblbuyers[Income])</f>
        <v>0</v>
      </c>
      <c r="P655" t="str">
        <f>IF(tblbuyers[[#This Row],[Age]]&lt;30,"&lt;30",IF(tblbuyers[[#This Row],[Age]]&lt;=45,"30-45",IF(tblbuyers[[#This Row],[Age]]&lt;=60,"46-60","60+")))</f>
        <v>30-45</v>
      </c>
      <c r="Q655" t="str">
        <f>IF(tblbuyers[[#This Row],[Income]]&lt;30000,"Low",IF(tblbuyers[[#This Row],[Income]]&lt;=70000,"Medium","High"))</f>
        <v>Medium</v>
      </c>
      <c r="R655" s="7" t="str">
        <f>IF(OR(LOWER(TRIM(tblbuyers[[#This Row],[Purchased Bike]]))="yes",LOWER(TRIM(tblbuyers[[#This Row],[Purchased Bike]]))="y"),"Yes","No")</f>
        <v>Yes</v>
      </c>
    </row>
    <row r="656" spans="1:18"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c r="O656">
        <f>COUNTBLANK(tblbuyers[Income])</f>
        <v>0</v>
      </c>
      <c r="P656" t="str">
        <f>IF(tblbuyers[[#This Row],[Age]]&lt;30,"&lt;30",IF(tblbuyers[[#This Row],[Age]]&lt;=45,"30-45",IF(tblbuyers[[#This Row],[Age]]&lt;=60,"46-60","60+")))</f>
        <v>30-45</v>
      </c>
      <c r="Q656" t="str">
        <f>IF(tblbuyers[[#This Row],[Income]]&lt;30000,"Low",IF(tblbuyers[[#This Row],[Income]]&lt;=70000,"Medium","High"))</f>
        <v>Medium</v>
      </c>
      <c r="R656" s="7" t="str">
        <f>IF(OR(LOWER(TRIM(tblbuyers[[#This Row],[Purchased Bike]]))="yes",LOWER(TRIM(tblbuyers[[#This Row],[Purchased Bike]]))="y"),"Yes","No")</f>
        <v>Yes</v>
      </c>
    </row>
    <row r="657" spans="1:18"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c r="O657">
        <f>COUNTBLANK(tblbuyers[Income])</f>
        <v>0</v>
      </c>
      <c r="P657" t="str">
        <f>IF(tblbuyers[[#This Row],[Age]]&lt;30,"&lt;30",IF(tblbuyers[[#This Row],[Age]]&lt;=45,"30-45",IF(tblbuyers[[#This Row],[Age]]&lt;=60,"46-60","60+")))</f>
        <v>30-45</v>
      </c>
      <c r="Q657" t="str">
        <f>IF(tblbuyers[[#This Row],[Income]]&lt;30000,"Low",IF(tblbuyers[[#This Row],[Income]]&lt;=70000,"Medium","High"))</f>
        <v>Medium</v>
      </c>
      <c r="R657" s="7" t="str">
        <f>IF(OR(LOWER(TRIM(tblbuyers[[#This Row],[Purchased Bike]]))="yes",LOWER(TRIM(tblbuyers[[#This Row],[Purchased Bike]]))="y"),"Yes","No")</f>
        <v>No</v>
      </c>
    </row>
    <row r="658" spans="1:18"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c r="O658">
        <f>COUNTBLANK(tblbuyers[Income])</f>
        <v>0</v>
      </c>
      <c r="P658" t="str">
        <f>IF(tblbuyers[[#This Row],[Age]]&lt;30,"&lt;30",IF(tblbuyers[[#This Row],[Age]]&lt;=45,"30-45",IF(tblbuyers[[#This Row],[Age]]&lt;=60,"46-60","60+")))</f>
        <v>46-60</v>
      </c>
      <c r="Q658" t="str">
        <f>IF(tblbuyers[[#This Row],[Income]]&lt;30000,"Low",IF(tblbuyers[[#This Row],[Income]]&lt;=70000,"Medium","High"))</f>
        <v>Medium</v>
      </c>
      <c r="R658" s="7" t="str">
        <f>IF(OR(LOWER(TRIM(tblbuyers[[#This Row],[Purchased Bike]]))="yes",LOWER(TRIM(tblbuyers[[#This Row],[Purchased Bike]]))="y"),"Yes","No")</f>
        <v>No</v>
      </c>
    </row>
    <row r="659" spans="1:18"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c r="O659">
        <f>COUNTBLANK(tblbuyers[Income])</f>
        <v>0</v>
      </c>
      <c r="P659" t="str">
        <f>IF(tblbuyers[[#This Row],[Age]]&lt;30,"&lt;30",IF(tblbuyers[[#This Row],[Age]]&lt;=45,"30-45",IF(tblbuyers[[#This Row],[Age]]&lt;=60,"46-60","60+")))</f>
        <v>30-45</v>
      </c>
      <c r="Q659" t="str">
        <f>IF(tblbuyers[[#This Row],[Income]]&lt;30000,"Low",IF(tblbuyers[[#This Row],[Income]]&lt;=70000,"Medium","High"))</f>
        <v>Medium</v>
      </c>
      <c r="R659" s="7" t="str">
        <f>IF(OR(LOWER(TRIM(tblbuyers[[#This Row],[Purchased Bike]]))="yes",LOWER(TRIM(tblbuyers[[#This Row],[Purchased Bike]]))="y"),"Yes","No")</f>
        <v>No</v>
      </c>
    </row>
    <row r="660" spans="1:18"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c r="O660">
        <f>COUNTBLANK(tblbuyers[Income])</f>
        <v>0</v>
      </c>
      <c r="P660" t="str">
        <f>IF(tblbuyers[[#This Row],[Age]]&lt;30,"&lt;30",IF(tblbuyers[[#This Row],[Age]]&lt;=45,"30-45",IF(tblbuyers[[#This Row],[Age]]&lt;=60,"46-60","60+")))</f>
        <v>30-45</v>
      </c>
      <c r="Q660" t="str">
        <f>IF(tblbuyers[[#This Row],[Income]]&lt;30000,"Low",IF(tblbuyers[[#This Row],[Income]]&lt;=70000,"Medium","High"))</f>
        <v>Medium</v>
      </c>
      <c r="R660" s="7" t="str">
        <f>IF(OR(LOWER(TRIM(tblbuyers[[#This Row],[Purchased Bike]]))="yes",LOWER(TRIM(tblbuyers[[#This Row],[Purchased Bike]]))="y"),"Yes","No")</f>
        <v>Yes</v>
      </c>
    </row>
    <row r="661" spans="1:18"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c r="O661">
        <f>COUNTBLANK(tblbuyers[Income])</f>
        <v>0</v>
      </c>
      <c r="P661" t="str">
        <f>IF(tblbuyers[[#This Row],[Age]]&lt;30,"&lt;30",IF(tblbuyers[[#This Row],[Age]]&lt;=45,"30-45",IF(tblbuyers[[#This Row],[Age]]&lt;=60,"46-60","60+")))</f>
        <v>60+</v>
      </c>
      <c r="Q661" t="str">
        <f>IF(tblbuyers[[#This Row],[Income]]&lt;30000,"Low",IF(tblbuyers[[#This Row],[Income]]&lt;=70000,"Medium","High"))</f>
        <v>Medium</v>
      </c>
      <c r="R661" s="7" t="str">
        <f>IF(OR(LOWER(TRIM(tblbuyers[[#This Row],[Purchased Bike]]))="yes",LOWER(TRIM(tblbuyers[[#This Row],[Purchased Bike]]))="y"),"Yes","No")</f>
        <v>No</v>
      </c>
    </row>
    <row r="662" spans="1:18"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c r="O662">
        <f>COUNTBLANK(tblbuyers[Income])</f>
        <v>0</v>
      </c>
      <c r="P662" t="str">
        <f>IF(tblbuyers[[#This Row],[Age]]&lt;30,"&lt;30",IF(tblbuyers[[#This Row],[Age]]&lt;=45,"30-45",IF(tblbuyers[[#This Row],[Age]]&lt;=60,"46-60","60+")))</f>
        <v>30-45</v>
      </c>
      <c r="Q662" t="str">
        <f>IF(tblbuyers[[#This Row],[Income]]&lt;30000,"Low",IF(tblbuyers[[#This Row],[Income]]&lt;=70000,"Medium","High"))</f>
        <v>Medium</v>
      </c>
      <c r="R662" s="7" t="str">
        <f>IF(OR(LOWER(TRIM(tblbuyers[[#This Row],[Purchased Bike]]))="yes",LOWER(TRIM(tblbuyers[[#This Row],[Purchased Bike]]))="y"),"Yes","No")</f>
        <v>Yes</v>
      </c>
    </row>
    <row r="663" spans="1:18"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c r="O663">
        <f>COUNTBLANK(tblbuyers[Income])</f>
        <v>0</v>
      </c>
      <c r="P663" t="str">
        <f>IF(tblbuyers[[#This Row],[Age]]&lt;30,"&lt;30",IF(tblbuyers[[#This Row],[Age]]&lt;=45,"30-45",IF(tblbuyers[[#This Row],[Age]]&lt;=60,"46-60","60+")))</f>
        <v>&lt;30</v>
      </c>
      <c r="Q663" t="str">
        <f>IF(tblbuyers[[#This Row],[Income]]&lt;30000,"Low",IF(tblbuyers[[#This Row],[Income]]&lt;=70000,"Medium","High"))</f>
        <v>Medium</v>
      </c>
      <c r="R663" s="7" t="str">
        <f>IF(OR(LOWER(TRIM(tblbuyers[[#This Row],[Purchased Bike]]))="yes",LOWER(TRIM(tblbuyers[[#This Row],[Purchased Bike]]))="y"),"Yes","No")</f>
        <v>Yes</v>
      </c>
    </row>
    <row r="664" spans="1:18"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c r="O664">
        <f>COUNTBLANK(tblbuyers[Income])</f>
        <v>0</v>
      </c>
      <c r="P664" t="str">
        <f>IF(tblbuyers[[#This Row],[Age]]&lt;30,"&lt;30",IF(tblbuyers[[#This Row],[Age]]&lt;=45,"30-45",IF(tblbuyers[[#This Row],[Age]]&lt;=60,"46-60","60+")))</f>
        <v>30-45</v>
      </c>
      <c r="Q664" t="str">
        <f>IF(tblbuyers[[#This Row],[Income]]&lt;30000,"Low",IF(tblbuyers[[#This Row],[Income]]&lt;=70000,"Medium","High"))</f>
        <v>High</v>
      </c>
      <c r="R664" s="7" t="str">
        <f>IF(OR(LOWER(TRIM(tblbuyers[[#This Row],[Purchased Bike]]))="yes",LOWER(TRIM(tblbuyers[[#This Row],[Purchased Bike]]))="y"),"Yes","No")</f>
        <v>No</v>
      </c>
    </row>
    <row r="665" spans="1:18"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c r="O665">
        <f>COUNTBLANK(tblbuyers[Income])</f>
        <v>0</v>
      </c>
      <c r="P665" t="str">
        <f>IF(tblbuyers[[#This Row],[Age]]&lt;30,"&lt;30",IF(tblbuyers[[#This Row],[Age]]&lt;=45,"30-45",IF(tblbuyers[[#This Row],[Age]]&lt;=60,"46-60","60+")))</f>
        <v>46-60</v>
      </c>
      <c r="Q665" t="str">
        <f>IF(tblbuyers[[#This Row],[Income]]&lt;30000,"Low",IF(tblbuyers[[#This Row],[Income]]&lt;=70000,"Medium","High"))</f>
        <v>Medium</v>
      </c>
      <c r="R665" s="7" t="str">
        <f>IF(OR(LOWER(TRIM(tblbuyers[[#This Row],[Purchased Bike]]))="yes",LOWER(TRIM(tblbuyers[[#This Row],[Purchased Bike]]))="y"),"Yes","No")</f>
        <v>No</v>
      </c>
    </row>
    <row r="666" spans="1:18"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c r="O666">
        <f>COUNTBLANK(tblbuyers[Income])</f>
        <v>0</v>
      </c>
      <c r="P666" t="str">
        <f>IF(tblbuyers[[#This Row],[Age]]&lt;30,"&lt;30",IF(tblbuyers[[#This Row],[Age]]&lt;=45,"30-45",IF(tblbuyers[[#This Row],[Age]]&lt;=60,"46-60","60+")))</f>
        <v>30-45</v>
      </c>
      <c r="Q666" t="str">
        <f>IF(tblbuyers[[#This Row],[Income]]&lt;30000,"Low",IF(tblbuyers[[#This Row],[Income]]&lt;=70000,"Medium","High"))</f>
        <v>High</v>
      </c>
      <c r="R666" s="7" t="str">
        <f>IF(OR(LOWER(TRIM(tblbuyers[[#This Row],[Purchased Bike]]))="yes",LOWER(TRIM(tblbuyers[[#This Row],[Purchased Bike]]))="y"),"Yes","No")</f>
        <v>Yes</v>
      </c>
    </row>
    <row r="667" spans="1:18"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c r="O667">
        <f>COUNTBLANK(tblbuyers[Income])</f>
        <v>0</v>
      </c>
      <c r="P667" t="str">
        <f>IF(tblbuyers[[#This Row],[Age]]&lt;30,"&lt;30",IF(tblbuyers[[#This Row],[Age]]&lt;=45,"30-45",IF(tblbuyers[[#This Row],[Age]]&lt;=60,"46-60","60+")))</f>
        <v>30-45</v>
      </c>
      <c r="Q667" t="str">
        <f>IF(tblbuyers[[#This Row],[Income]]&lt;30000,"Low",IF(tblbuyers[[#This Row],[Income]]&lt;=70000,"Medium","High"))</f>
        <v>High</v>
      </c>
      <c r="R667" s="7" t="str">
        <f>IF(OR(LOWER(TRIM(tblbuyers[[#This Row],[Purchased Bike]]))="yes",LOWER(TRIM(tblbuyers[[#This Row],[Purchased Bike]]))="y"),"Yes","No")</f>
        <v>No</v>
      </c>
    </row>
    <row r="668" spans="1:18"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c r="O668">
        <f>COUNTBLANK(tblbuyers[Income])</f>
        <v>0</v>
      </c>
      <c r="P668" t="str">
        <f>IF(tblbuyers[[#This Row],[Age]]&lt;30,"&lt;30",IF(tblbuyers[[#This Row],[Age]]&lt;=45,"30-45",IF(tblbuyers[[#This Row],[Age]]&lt;=60,"46-60","60+")))</f>
        <v>46-60</v>
      </c>
      <c r="Q668" t="str">
        <f>IF(tblbuyers[[#This Row],[Income]]&lt;30000,"Low",IF(tblbuyers[[#This Row],[Income]]&lt;=70000,"Medium","High"))</f>
        <v>Medium</v>
      </c>
      <c r="R668" s="7" t="str">
        <f>IF(OR(LOWER(TRIM(tblbuyers[[#This Row],[Purchased Bike]]))="yes",LOWER(TRIM(tblbuyers[[#This Row],[Purchased Bike]]))="y"),"Yes","No")</f>
        <v>Yes</v>
      </c>
    </row>
    <row r="669" spans="1:18"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c r="O669">
        <f>COUNTBLANK(tblbuyers[Income])</f>
        <v>0</v>
      </c>
      <c r="P669" t="str">
        <f>IF(tblbuyers[[#This Row],[Age]]&lt;30,"&lt;30",IF(tblbuyers[[#This Row],[Age]]&lt;=45,"30-45",IF(tblbuyers[[#This Row],[Age]]&lt;=60,"46-60","60+")))</f>
        <v>60+</v>
      </c>
      <c r="Q669" t="str">
        <f>IF(tblbuyers[[#This Row],[Income]]&lt;30000,"Low",IF(tblbuyers[[#This Row],[Income]]&lt;=70000,"Medium","High"))</f>
        <v>Medium</v>
      </c>
      <c r="R669" s="7" t="str">
        <f>IF(OR(LOWER(TRIM(tblbuyers[[#This Row],[Purchased Bike]]))="yes",LOWER(TRIM(tblbuyers[[#This Row],[Purchased Bike]]))="y"),"Yes","No")</f>
        <v>No</v>
      </c>
    </row>
    <row r="670" spans="1:18"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c r="O670">
        <f>COUNTBLANK(tblbuyers[Income])</f>
        <v>0</v>
      </c>
      <c r="P670" t="str">
        <f>IF(tblbuyers[[#This Row],[Age]]&lt;30,"&lt;30",IF(tblbuyers[[#This Row],[Age]]&lt;=45,"30-45",IF(tblbuyers[[#This Row],[Age]]&lt;=60,"46-60","60+")))</f>
        <v>30-45</v>
      </c>
      <c r="Q670" t="str">
        <f>IF(tblbuyers[[#This Row],[Income]]&lt;30000,"Low",IF(tblbuyers[[#This Row],[Income]]&lt;=70000,"Medium","High"))</f>
        <v>Medium</v>
      </c>
      <c r="R670" s="7" t="str">
        <f>IF(OR(LOWER(TRIM(tblbuyers[[#This Row],[Purchased Bike]]))="yes",LOWER(TRIM(tblbuyers[[#This Row],[Purchased Bike]]))="y"),"Yes","No")</f>
        <v>No</v>
      </c>
    </row>
    <row r="671" spans="1:18"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c r="O671">
        <f>COUNTBLANK(tblbuyers[Income])</f>
        <v>0</v>
      </c>
      <c r="P671" t="str">
        <f>IF(tblbuyers[[#This Row],[Age]]&lt;30,"&lt;30",IF(tblbuyers[[#This Row],[Age]]&lt;=45,"30-45",IF(tblbuyers[[#This Row],[Age]]&lt;=60,"46-60","60+")))</f>
        <v>46-60</v>
      </c>
      <c r="Q671" t="str">
        <f>IF(tblbuyers[[#This Row],[Income]]&lt;30000,"Low",IF(tblbuyers[[#This Row],[Income]]&lt;=70000,"Medium","High"))</f>
        <v>Medium</v>
      </c>
      <c r="R671" s="7" t="str">
        <f>IF(OR(LOWER(TRIM(tblbuyers[[#This Row],[Purchased Bike]]))="yes",LOWER(TRIM(tblbuyers[[#This Row],[Purchased Bike]]))="y"),"Yes","No")</f>
        <v>No</v>
      </c>
    </row>
    <row r="672" spans="1:18"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c r="O672">
        <f>COUNTBLANK(tblbuyers[Income])</f>
        <v>0</v>
      </c>
      <c r="P672" t="str">
        <f>IF(tblbuyers[[#This Row],[Age]]&lt;30,"&lt;30",IF(tblbuyers[[#This Row],[Age]]&lt;=45,"30-45",IF(tblbuyers[[#This Row],[Age]]&lt;=60,"46-60","60+")))</f>
        <v>46-60</v>
      </c>
      <c r="Q672" t="str">
        <f>IF(tblbuyers[[#This Row],[Income]]&lt;30000,"Low",IF(tblbuyers[[#This Row],[Income]]&lt;=70000,"Medium","High"))</f>
        <v>Medium</v>
      </c>
      <c r="R672" s="7" t="str">
        <f>IF(OR(LOWER(TRIM(tblbuyers[[#This Row],[Purchased Bike]]))="yes",LOWER(TRIM(tblbuyers[[#This Row],[Purchased Bike]]))="y"),"Yes","No")</f>
        <v>No</v>
      </c>
    </row>
    <row r="673" spans="1:18"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c r="O673">
        <f>COUNTBLANK(tblbuyers[Income])</f>
        <v>0</v>
      </c>
      <c r="P673" t="str">
        <f>IF(tblbuyers[[#This Row],[Age]]&lt;30,"&lt;30",IF(tblbuyers[[#This Row],[Age]]&lt;=45,"30-45",IF(tblbuyers[[#This Row],[Age]]&lt;=60,"46-60","60+")))</f>
        <v>30-45</v>
      </c>
      <c r="Q673" t="str">
        <f>IF(tblbuyers[[#This Row],[Income]]&lt;30000,"Low",IF(tblbuyers[[#This Row],[Income]]&lt;=70000,"Medium","High"))</f>
        <v>Medium</v>
      </c>
      <c r="R673" s="7" t="str">
        <f>IF(OR(LOWER(TRIM(tblbuyers[[#This Row],[Purchased Bike]]))="yes",LOWER(TRIM(tblbuyers[[#This Row],[Purchased Bike]]))="y"),"Yes","No")</f>
        <v>Yes</v>
      </c>
    </row>
    <row r="674" spans="1:18"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c r="O674">
        <f>COUNTBLANK(tblbuyers[Income])</f>
        <v>0</v>
      </c>
      <c r="P674" t="str">
        <f>IF(tblbuyers[[#This Row],[Age]]&lt;30,"&lt;30",IF(tblbuyers[[#This Row],[Age]]&lt;=45,"30-45",IF(tblbuyers[[#This Row],[Age]]&lt;=60,"46-60","60+")))</f>
        <v>30-45</v>
      </c>
      <c r="Q674" t="str">
        <f>IF(tblbuyers[[#This Row],[Income]]&lt;30000,"Low",IF(tblbuyers[[#This Row],[Income]]&lt;=70000,"Medium","High"))</f>
        <v>Medium</v>
      </c>
      <c r="R674" s="7" t="str">
        <f>IF(OR(LOWER(TRIM(tblbuyers[[#This Row],[Purchased Bike]]))="yes",LOWER(TRIM(tblbuyers[[#This Row],[Purchased Bike]]))="y"),"Yes","No")</f>
        <v>No</v>
      </c>
    </row>
    <row r="675" spans="1:18"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c r="O675">
        <f>COUNTBLANK(tblbuyers[Income])</f>
        <v>0</v>
      </c>
      <c r="P675" t="str">
        <f>IF(tblbuyers[[#This Row],[Age]]&lt;30,"&lt;30",IF(tblbuyers[[#This Row],[Age]]&lt;=45,"30-45",IF(tblbuyers[[#This Row],[Age]]&lt;=60,"46-60","60+")))</f>
        <v>30-45</v>
      </c>
      <c r="Q675" t="str">
        <f>IF(tblbuyers[[#This Row],[Income]]&lt;30000,"Low",IF(tblbuyers[[#This Row],[Income]]&lt;=70000,"Medium","High"))</f>
        <v>Medium</v>
      </c>
      <c r="R675" s="7" t="str">
        <f>IF(OR(LOWER(TRIM(tblbuyers[[#This Row],[Purchased Bike]]))="yes",LOWER(TRIM(tblbuyers[[#This Row],[Purchased Bike]]))="y"),"Yes","No")</f>
        <v>Yes</v>
      </c>
    </row>
    <row r="676" spans="1:18"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c r="O676">
        <f>COUNTBLANK(tblbuyers[Income])</f>
        <v>0</v>
      </c>
      <c r="P676" t="str">
        <f>IF(tblbuyers[[#This Row],[Age]]&lt;30,"&lt;30",IF(tblbuyers[[#This Row],[Age]]&lt;=45,"30-45",IF(tblbuyers[[#This Row],[Age]]&lt;=60,"46-60","60+")))</f>
        <v>46-60</v>
      </c>
      <c r="Q676" t="str">
        <f>IF(tblbuyers[[#This Row],[Income]]&lt;30000,"Low",IF(tblbuyers[[#This Row],[Income]]&lt;=70000,"Medium","High"))</f>
        <v>Medium</v>
      </c>
      <c r="R676" s="7" t="str">
        <f>IF(OR(LOWER(TRIM(tblbuyers[[#This Row],[Purchased Bike]]))="yes",LOWER(TRIM(tblbuyers[[#This Row],[Purchased Bike]]))="y"),"Yes","No")</f>
        <v>No</v>
      </c>
    </row>
    <row r="677" spans="1:18"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c r="O677">
        <f>COUNTBLANK(tblbuyers[Income])</f>
        <v>0</v>
      </c>
      <c r="P677" t="str">
        <f>IF(tblbuyers[[#This Row],[Age]]&lt;30,"&lt;30",IF(tblbuyers[[#This Row],[Age]]&lt;=45,"30-45",IF(tblbuyers[[#This Row],[Age]]&lt;=60,"46-60","60+")))</f>
        <v>30-45</v>
      </c>
      <c r="Q677" t="str">
        <f>IF(tblbuyers[[#This Row],[Income]]&lt;30000,"Low",IF(tblbuyers[[#This Row],[Income]]&lt;=70000,"Medium","High"))</f>
        <v>High</v>
      </c>
      <c r="R677" s="7" t="str">
        <f>IF(OR(LOWER(TRIM(tblbuyers[[#This Row],[Purchased Bike]]))="yes",LOWER(TRIM(tblbuyers[[#This Row],[Purchased Bike]]))="y"),"Yes","No")</f>
        <v>No</v>
      </c>
    </row>
    <row r="678" spans="1:18"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c r="O678">
        <f>COUNTBLANK(tblbuyers[Income])</f>
        <v>0</v>
      </c>
      <c r="P678" t="str">
        <f>IF(tblbuyers[[#This Row],[Age]]&lt;30,"&lt;30",IF(tblbuyers[[#This Row],[Age]]&lt;=45,"30-45",IF(tblbuyers[[#This Row],[Age]]&lt;=60,"46-60","60+")))</f>
        <v>46-60</v>
      </c>
      <c r="Q678" t="str">
        <f>IF(tblbuyers[[#This Row],[Income]]&lt;30000,"Low",IF(tblbuyers[[#This Row],[Income]]&lt;=70000,"Medium","High"))</f>
        <v>Medium</v>
      </c>
      <c r="R678" s="7" t="str">
        <f>IF(OR(LOWER(TRIM(tblbuyers[[#This Row],[Purchased Bike]]))="yes",LOWER(TRIM(tblbuyers[[#This Row],[Purchased Bike]]))="y"),"Yes","No")</f>
        <v>No</v>
      </c>
    </row>
    <row r="679" spans="1:18"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c r="O679">
        <f>COUNTBLANK(tblbuyers[Income])</f>
        <v>0</v>
      </c>
      <c r="P679" t="str">
        <f>IF(tblbuyers[[#This Row],[Age]]&lt;30,"&lt;30",IF(tblbuyers[[#This Row],[Age]]&lt;=45,"30-45",IF(tblbuyers[[#This Row],[Age]]&lt;=60,"46-60","60+")))</f>
        <v>46-60</v>
      </c>
      <c r="Q679" t="str">
        <f>IF(tblbuyers[[#This Row],[Income]]&lt;30000,"Low",IF(tblbuyers[[#This Row],[Income]]&lt;=70000,"Medium","High"))</f>
        <v>Medium</v>
      </c>
      <c r="R679" s="7" t="str">
        <f>IF(OR(LOWER(TRIM(tblbuyers[[#This Row],[Purchased Bike]]))="yes",LOWER(TRIM(tblbuyers[[#This Row],[Purchased Bike]]))="y"),"Yes","No")</f>
        <v>No</v>
      </c>
    </row>
    <row r="680" spans="1:18"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c r="O680">
        <f>COUNTBLANK(tblbuyers[Income])</f>
        <v>0</v>
      </c>
      <c r="P680" t="str">
        <f>IF(tblbuyers[[#This Row],[Age]]&lt;30,"&lt;30",IF(tblbuyers[[#This Row],[Age]]&lt;=45,"30-45",IF(tblbuyers[[#This Row],[Age]]&lt;=60,"46-60","60+")))</f>
        <v>60+</v>
      </c>
      <c r="Q680" t="str">
        <f>IF(tblbuyers[[#This Row],[Income]]&lt;30000,"Low",IF(tblbuyers[[#This Row],[Income]]&lt;=70000,"Medium","High"))</f>
        <v>High</v>
      </c>
      <c r="R680" s="7" t="str">
        <f>IF(OR(LOWER(TRIM(tblbuyers[[#This Row],[Purchased Bike]]))="yes",LOWER(TRIM(tblbuyers[[#This Row],[Purchased Bike]]))="y"),"Yes","No")</f>
        <v>No</v>
      </c>
    </row>
    <row r="681" spans="1:18"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c r="O681">
        <f>COUNTBLANK(tblbuyers[Income])</f>
        <v>0</v>
      </c>
      <c r="P681" t="str">
        <f>IF(tblbuyers[[#This Row],[Age]]&lt;30,"&lt;30",IF(tblbuyers[[#This Row],[Age]]&lt;=45,"30-45",IF(tblbuyers[[#This Row],[Age]]&lt;=60,"46-60","60+")))</f>
        <v>46-60</v>
      </c>
      <c r="Q681" t="str">
        <f>IF(tblbuyers[[#This Row],[Income]]&lt;30000,"Low",IF(tblbuyers[[#This Row],[Income]]&lt;=70000,"Medium","High"))</f>
        <v>Medium</v>
      </c>
      <c r="R681" s="7" t="str">
        <f>IF(OR(LOWER(TRIM(tblbuyers[[#This Row],[Purchased Bike]]))="yes",LOWER(TRIM(tblbuyers[[#This Row],[Purchased Bike]]))="y"),"Yes","No")</f>
        <v>No</v>
      </c>
    </row>
    <row r="682" spans="1:18"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c r="O682">
        <f>COUNTBLANK(tblbuyers[Income])</f>
        <v>0</v>
      </c>
      <c r="P682" t="str">
        <f>IF(tblbuyers[[#This Row],[Age]]&lt;30,"&lt;30",IF(tblbuyers[[#This Row],[Age]]&lt;=45,"30-45",IF(tblbuyers[[#This Row],[Age]]&lt;=60,"46-60","60+")))</f>
        <v>30-45</v>
      </c>
      <c r="Q682" t="str">
        <f>IF(tblbuyers[[#This Row],[Income]]&lt;30000,"Low",IF(tblbuyers[[#This Row],[Income]]&lt;=70000,"Medium","High"))</f>
        <v>Medium</v>
      </c>
      <c r="R682" s="7" t="str">
        <f>IF(OR(LOWER(TRIM(tblbuyers[[#This Row],[Purchased Bike]]))="yes",LOWER(TRIM(tblbuyers[[#This Row],[Purchased Bike]]))="y"),"Yes","No")</f>
        <v>No</v>
      </c>
    </row>
    <row r="683" spans="1:18"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c r="O683">
        <f>COUNTBLANK(tblbuyers[Income])</f>
        <v>0</v>
      </c>
      <c r="P683" t="str">
        <f>IF(tblbuyers[[#This Row],[Age]]&lt;30,"&lt;30",IF(tblbuyers[[#This Row],[Age]]&lt;=45,"30-45",IF(tblbuyers[[#This Row],[Age]]&lt;=60,"46-60","60+")))</f>
        <v>46-60</v>
      </c>
      <c r="Q683" t="str">
        <f>IF(tblbuyers[[#This Row],[Income]]&lt;30000,"Low",IF(tblbuyers[[#This Row],[Income]]&lt;=70000,"Medium","High"))</f>
        <v>High</v>
      </c>
      <c r="R683" s="7" t="str">
        <f>IF(OR(LOWER(TRIM(tblbuyers[[#This Row],[Purchased Bike]]))="yes",LOWER(TRIM(tblbuyers[[#This Row],[Purchased Bike]]))="y"),"Yes","No")</f>
        <v>No</v>
      </c>
    </row>
    <row r="684" spans="1:18"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c r="O684">
        <f>COUNTBLANK(tblbuyers[Income])</f>
        <v>0</v>
      </c>
      <c r="P684" t="str">
        <f>IF(tblbuyers[[#This Row],[Age]]&lt;30,"&lt;30",IF(tblbuyers[[#This Row],[Age]]&lt;=45,"30-45",IF(tblbuyers[[#This Row],[Age]]&lt;=60,"46-60","60+")))</f>
        <v>46-60</v>
      </c>
      <c r="Q684" t="str">
        <f>IF(tblbuyers[[#This Row],[Income]]&lt;30000,"Low",IF(tblbuyers[[#This Row],[Income]]&lt;=70000,"Medium","High"))</f>
        <v>Low</v>
      </c>
      <c r="R684" s="7" t="str">
        <f>IF(OR(LOWER(TRIM(tblbuyers[[#This Row],[Purchased Bike]]))="yes",LOWER(TRIM(tblbuyers[[#This Row],[Purchased Bike]]))="y"),"Yes","No")</f>
        <v>No</v>
      </c>
    </row>
    <row r="685" spans="1:18"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c r="O685">
        <f>COUNTBLANK(tblbuyers[Income])</f>
        <v>0</v>
      </c>
      <c r="P685" t="str">
        <f>IF(tblbuyers[[#This Row],[Age]]&lt;30,"&lt;30",IF(tblbuyers[[#This Row],[Age]]&lt;=45,"30-45",IF(tblbuyers[[#This Row],[Age]]&lt;=60,"46-60","60+")))</f>
        <v>30-45</v>
      </c>
      <c r="Q685" t="str">
        <f>IF(tblbuyers[[#This Row],[Income]]&lt;30000,"Low",IF(tblbuyers[[#This Row],[Income]]&lt;=70000,"Medium","High"))</f>
        <v>High</v>
      </c>
      <c r="R685" s="7" t="str">
        <f>IF(OR(LOWER(TRIM(tblbuyers[[#This Row],[Purchased Bike]]))="yes",LOWER(TRIM(tblbuyers[[#This Row],[Purchased Bike]]))="y"),"Yes","No")</f>
        <v>No</v>
      </c>
    </row>
    <row r="686" spans="1:18"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c r="O686">
        <f>COUNTBLANK(tblbuyers[Income])</f>
        <v>0</v>
      </c>
      <c r="P686" t="str">
        <f>IF(tblbuyers[[#This Row],[Age]]&lt;30,"&lt;30",IF(tblbuyers[[#This Row],[Age]]&lt;=45,"30-45",IF(tblbuyers[[#This Row],[Age]]&lt;=60,"46-60","60+")))</f>
        <v>30-45</v>
      </c>
      <c r="Q686" t="str">
        <f>IF(tblbuyers[[#This Row],[Income]]&lt;30000,"Low",IF(tblbuyers[[#This Row],[Income]]&lt;=70000,"Medium","High"))</f>
        <v>Medium</v>
      </c>
      <c r="R686" s="7" t="str">
        <f>IF(OR(LOWER(TRIM(tblbuyers[[#This Row],[Purchased Bike]]))="yes",LOWER(TRIM(tblbuyers[[#This Row],[Purchased Bike]]))="y"),"Yes","No")</f>
        <v>No</v>
      </c>
    </row>
    <row r="687" spans="1:18"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c r="O687">
        <f>COUNTBLANK(tblbuyers[Income])</f>
        <v>0</v>
      </c>
      <c r="P687" t="str">
        <f>IF(tblbuyers[[#This Row],[Age]]&lt;30,"&lt;30",IF(tblbuyers[[#This Row],[Age]]&lt;=45,"30-45",IF(tblbuyers[[#This Row],[Age]]&lt;=60,"46-60","60+")))</f>
        <v>46-60</v>
      </c>
      <c r="Q687" t="str">
        <f>IF(tblbuyers[[#This Row],[Income]]&lt;30000,"Low",IF(tblbuyers[[#This Row],[Income]]&lt;=70000,"Medium","High"))</f>
        <v>Medium</v>
      </c>
      <c r="R687" s="7" t="str">
        <f>IF(OR(LOWER(TRIM(tblbuyers[[#This Row],[Purchased Bike]]))="yes",LOWER(TRIM(tblbuyers[[#This Row],[Purchased Bike]]))="y"),"Yes","No")</f>
        <v>Yes</v>
      </c>
    </row>
    <row r="688" spans="1:18"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c r="O688">
        <f>COUNTBLANK(tblbuyers[Income])</f>
        <v>0</v>
      </c>
      <c r="P688" t="str">
        <f>IF(tblbuyers[[#This Row],[Age]]&lt;30,"&lt;30",IF(tblbuyers[[#This Row],[Age]]&lt;=45,"30-45",IF(tblbuyers[[#This Row],[Age]]&lt;=60,"46-60","60+")))</f>
        <v>46-60</v>
      </c>
      <c r="Q688" t="str">
        <f>IF(tblbuyers[[#This Row],[Income]]&lt;30000,"Low",IF(tblbuyers[[#This Row],[Income]]&lt;=70000,"Medium","High"))</f>
        <v>Medium</v>
      </c>
      <c r="R688" s="7" t="str">
        <f>IF(OR(LOWER(TRIM(tblbuyers[[#This Row],[Purchased Bike]]))="yes",LOWER(TRIM(tblbuyers[[#This Row],[Purchased Bike]]))="y"),"Yes","No")</f>
        <v>Yes</v>
      </c>
    </row>
    <row r="689" spans="1:18"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c r="O689">
        <f>COUNTBLANK(tblbuyers[Income])</f>
        <v>0</v>
      </c>
      <c r="P689" t="str">
        <f>IF(tblbuyers[[#This Row],[Age]]&lt;30,"&lt;30",IF(tblbuyers[[#This Row],[Age]]&lt;=45,"30-45",IF(tblbuyers[[#This Row],[Age]]&lt;=60,"46-60","60+")))</f>
        <v>30-45</v>
      </c>
      <c r="Q689" t="str">
        <f>IF(tblbuyers[[#This Row],[Income]]&lt;30000,"Low",IF(tblbuyers[[#This Row],[Income]]&lt;=70000,"Medium","High"))</f>
        <v>Medium</v>
      </c>
      <c r="R689" s="7" t="str">
        <f>IF(OR(LOWER(TRIM(tblbuyers[[#This Row],[Purchased Bike]]))="yes",LOWER(TRIM(tblbuyers[[#This Row],[Purchased Bike]]))="y"),"Yes","No")</f>
        <v>No</v>
      </c>
    </row>
    <row r="690" spans="1:18"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c r="O690">
        <f>COUNTBLANK(tblbuyers[Income])</f>
        <v>0</v>
      </c>
      <c r="P690" t="str">
        <f>IF(tblbuyers[[#This Row],[Age]]&lt;30,"&lt;30",IF(tblbuyers[[#This Row],[Age]]&lt;=45,"30-45",IF(tblbuyers[[#This Row],[Age]]&lt;=60,"46-60","60+")))</f>
        <v>30-45</v>
      </c>
      <c r="Q690" t="str">
        <f>IF(tblbuyers[[#This Row],[Income]]&lt;30000,"Low",IF(tblbuyers[[#This Row],[Income]]&lt;=70000,"Medium","High"))</f>
        <v>Medium</v>
      </c>
      <c r="R690" s="7" t="str">
        <f>IF(OR(LOWER(TRIM(tblbuyers[[#This Row],[Purchased Bike]]))="yes",LOWER(TRIM(tblbuyers[[#This Row],[Purchased Bike]]))="y"),"Yes","No")</f>
        <v>No</v>
      </c>
    </row>
    <row r="691" spans="1:18"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c r="O691">
        <f>COUNTBLANK(tblbuyers[Income])</f>
        <v>0</v>
      </c>
      <c r="P691" t="str">
        <f>IF(tblbuyers[[#This Row],[Age]]&lt;30,"&lt;30",IF(tblbuyers[[#This Row],[Age]]&lt;=45,"30-45",IF(tblbuyers[[#This Row],[Age]]&lt;=60,"46-60","60+")))</f>
        <v>&lt;30</v>
      </c>
      <c r="Q691" t="str">
        <f>IF(tblbuyers[[#This Row],[Income]]&lt;30000,"Low",IF(tblbuyers[[#This Row],[Income]]&lt;=70000,"Medium","High"))</f>
        <v>Medium</v>
      </c>
      <c r="R691" s="7" t="str">
        <f>IF(OR(LOWER(TRIM(tblbuyers[[#This Row],[Purchased Bike]]))="yes",LOWER(TRIM(tblbuyers[[#This Row],[Purchased Bike]]))="y"),"Yes","No")</f>
        <v>No</v>
      </c>
    </row>
    <row r="692" spans="1:18"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c r="O692">
        <f>COUNTBLANK(tblbuyers[Income])</f>
        <v>0</v>
      </c>
      <c r="P692" t="str">
        <f>IF(tblbuyers[[#This Row],[Age]]&lt;30,"&lt;30",IF(tblbuyers[[#This Row],[Age]]&lt;=45,"30-45",IF(tblbuyers[[#This Row],[Age]]&lt;=60,"46-60","60+")))</f>
        <v>30-45</v>
      </c>
      <c r="Q692" t="str">
        <f>IF(tblbuyers[[#This Row],[Income]]&lt;30000,"Low",IF(tblbuyers[[#This Row],[Income]]&lt;=70000,"Medium","High"))</f>
        <v>High</v>
      </c>
      <c r="R692" s="7" t="str">
        <f>IF(OR(LOWER(TRIM(tblbuyers[[#This Row],[Purchased Bike]]))="yes",LOWER(TRIM(tblbuyers[[#This Row],[Purchased Bike]]))="y"),"Yes","No")</f>
        <v>No</v>
      </c>
    </row>
    <row r="693" spans="1:18"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c r="O693">
        <f>COUNTBLANK(tblbuyers[Income])</f>
        <v>0</v>
      </c>
      <c r="P693" t="str">
        <f>IF(tblbuyers[[#This Row],[Age]]&lt;30,"&lt;30",IF(tblbuyers[[#This Row],[Age]]&lt;=45,"30-45",IF(tblbuyers[[#This Row],[Age]]&lt;=60,"46-60","60+")))</f>
        <v>30-45</v>
      </c>
      <c r="Q693" t="str">
        <f>IF(tblbuyers[[#This Row],[Income]]&lt;30000,"Low",IF(tblbuyers[[#This Row],[Income]]&lt;=70000,"Medium","High"))</f>
        <v>Medium</v>
      </c>
      <c r="R693" s="7" t="str">
        <f>IF(OR(LOWER(TRIM(tblbuyers[[#This Row],[Purchased Bike]]))="yes",LOWER(TRIM(tblbuyers[[#This Row],[Purchased Bike]]))="y"),"Yes","No")</f>
        <v>Yes</v>
      </c>
    </row>
    <row r="694" spans="1:18"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c r="O694">
        <f>COUNTBLANK(tblbuyers[Income])</f>
        <v>0</v>
      </c>
      <c r="P694" t="str">
        <f>IF(tblbuyers[[#This Row],[Age]]&lt;30,"&lt;30",IF(tblbuyers[[#This Row],[Age]]&lt;=45,"30-45",IF(tblbuyers[[#This Row],[Age]]&lt;=60,"46-60","60+")))</f>
        <v>30-45</v>
      </c>
      <c r="Q694" t="str">
        <f>IF(tblbuyers[[#This Row],[Income]]&lt;30000,"Low",IF(tblbuyers[[#This Row],[Income]]&lt;=70000,"Medium","High"))</f>
        <v>Medium</v>
      </c>
      <c r="R694" s="7" t="str">
        <f>IF(OR(LOWER(TRIM(tblbuyers[[#This Row],[Purchased Bike]]))="yes",LOWER(TRIM(tblbuyers[[#This Row],[Purchased Bike]]))="y"),"Yes","No")</f>
        <v>Yes</v>
      </c>
    </row>
    <row r="695" spans="1:18"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c r="O695">
        <f>COUNTBLANK(tblbuyers[Income])</f>
        <v>0</v>
      </c>
      <c r="P695" t="str">
        <f>IF(tblbuyers[[#This Row],[Age]]&lt;30,"&lt;30",IF(tblbuyers[[#This Row],[Age]]&lt;=45,"30-45",IF(tblbuyers[[#This Row],[Age]]&lt;=60,"46-60","60+")))</f>
        <v>30-45</v>
      </c>
      <c r="Q695" t="str">
        <f>IF(tblbuyers[[#This Row],[Income]]&lt;30000,"Low",IF(tblbuyers[[#This Row],[Income]]&lt;=70000,"Medium","High"))</f>
        <v>Medium</v>
      </c>
      <c r="R695" s="7" t="str">
        <f>IF(OR(LOWER(TRIM(tblbuyers[[#This Row],[Purchased Bike]]))="yes",LOWER(TRIM(tblbuyers[[#This Row],[Purchased Bike]]))="y"),"Yes","No")</f>
        <v>Yes</v>
      </c>
    </row>
    <row r="696" spans="1:18"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c r="O696">
        <f>COUNTBLANK(tblbuyers[Income])</f>
        <v>0</v>
      </c>
      <c r="P696" t="str">
        <f>IF(tblbuyers[[#This Row],[Age]]&lt;30,"&lt;30",IF(tblbuyers[[#This Row],[Age]]&lt;=45,"30-45",IF(tblbuyers[[#This Row],[Age]]&lt;=60,"46-60","60+")))</f>
        <v>30-45</v>
      </c>
      <c r="Q696" t="str">
        <f>IF(tblbuyers[[#This Row],[Income]]&lt;30000,"Low",IF(tblbuyers[[#This Row],[Income]]&lt;=70000,"Medium","High"))</f>
        <v>High</v>
      </c>
      <c r="R696" s="7" t="str">
        <f>IF(OR(LOWER(TRIM(tblbuyers[[#This Row],[Purchased Bike]]))="yes",LOWER(TRIM(tblbuyers[[#This Row],[Purchased Bike]]))="y"),"Yes","No")</f>
        <v>Yes</v>
      </c>
    </row>
    <row r="697" spans="1:18"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c r="O697">
        <f>COUNTBLANK(tblbuyers[Income])</f>
        <v>0</v>
      </c>
      <c r="P697" t="str">
        <f>IF(tblbuyers[[#This Row],[Age]]&lt;30,"&lt;30",IF(tblbuyers[[#This Row],[Age]]&lt;=45,"30-45",IF(tblbuyers[[#This Row],[Age]]&lt;=60,"46-60","60+")))</f>
        <v>30-45</v>
      </c>
      <c r="Q697" t="str">
        <f>IF(tblbuyers[[#This Row],[Income]]&lt;30000,"Low",IF(tblbuyers[[#This Row],[Income]]&lt;=70000,"Medium","High"))</f>
        <v>High</v>
      </c>
      <c r="R697" s="7" t="str">
        <f>IF(OR(LOWER(TRIM(tblbuyers[[#This Row],[Purchased Bike]]))="yes",LOWER(TRIM(tblbuyers[[#This Row],[Purchased Bike]]))="y"),"Yes","No")</f>
        <v>No</v>
      </c>
    </row>
    <row r="698" spans="1:18"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c r="O698">
        <f>COUNTBLANK(tblbuyers[Income])</f>
        <v>0</v>
      </c>
      <c r="P698" t="str">
        <f>IF(tblbuyers[[#This Row],[Age]]&lt;30,"&lt;30",IF(tblbuyers[[#This Row],[Age]]&lt;=45,"30-45",IF(tblbuyers[[#This Row],[Age]]&lt;=60,"46-60","60+")))</f>
        <v>30-45</v>
      </c>
      <c r="Q698" t="str">
        <f>IF(tblbuyers[[#This Row],[Income]]&lt;30000,"Low",IF(tblbuyers[[#This Row],[Income]]&lt;=70000,"Medium","High"))</f>
        <v>Medium</v>
      </c>
      <c r="R698" s="7" t="str">
        <f>IF(OR(LOWER(TRIM(tblbuyers[[#This Row],[Purchased Bike]]))="yes",LOWER(TRIM(tblbuyers[[#This Row],[Purchased Bike]]))="y"),"Yes","No")</f>
        <v>No</v>
      </c>
    </row>
    <row r="699" spans="1:18"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c r="O699">
        <f>COUNTBLANK(tblbuyers[Income])</f>
        <v>0</v>
      </c>
      <c r="P699" t="str">
        <f>IF(tblbuyers[[#This Row],[Age]]&lt;30,"&lt;30",IF(tblbuyers[[#This Row],[Age]]&lt;=45,"30-45",IF(tblbuyers[[#This Row],[Age]]&lt;=60,"46-60","60+")))</f>
        <v>&lt;30</v>
      </c>
      <c r="Q699" t="str">
        <f>IF(tblbuyers[[#This Row],[Income]]&lt;30000,"Low",IF(tblbuyers[[#This Row],[Income]]&lt;=70000,"Medium","High"))</f>
        <v>Medium</v>
      </c>
      <c r="R699" s="7" t="str">
        <f>IF(OR(LOWER(TRIM(tblbuyers[[#This Row],[Purchased Bike]]))="yes",LOWER(TRIM(tblbuyers[[#This Row],[Purchased Bike]]))="y"),"Yes","No")</f>
        <v>No</v>
      </c>
    </row>
    <row r="700" spans="1:18"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c r="O700">
        <f>COUNTBLANK(tblbuyers[Income])</f>
        <v>0</v>
      </c>
      <c r="P700" t="str">
        <f>IF(tblbuyers[[#This Row],[Age]]&lt;30,"&lt;30",IF(tblbuyers[[#This Row],[Age]]&lt;=45,"30-45",IF(tblbuyers[[#This Row],[Age]]&lt;=60,"46-60","60+")))</f>
        <v>46-60</v>
      </c>
      <c r="Q700" t="str">
        <f>IF(tblbuyers[[#This Row],[Income]]&lt;30000,"Low",IF(tblbuyers[[#This Row],[Income]]&lt;=70000,"Medium","High"))</f>
        <v>Low</v>
      </c>
      <c r="R700" s="7" t="str">
        <f>IF(OR(LOWER(TRIM(tblbuyers[[#This Row],[Purchased Bike]]))="yes",LOWER(TRIM(tblbuyers[[#This Row],[Purchased Bike]]))="y"),"Yes","No")</f>
        <v>No</v>
      </c>
    </row>
    <row r="701" spans="1:18"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c r="O701">
        <f>COUNTBLANK(tblbuyers[Income])</f>
        <v>0</v>
      </c>
      <c r="P701" t="str">
        <f>IF(tblbuyers[[#This Row],[Age]]&lt;30,"&lt;30",IF(tblbuyers[[#This Row],[Age]]&lt;=45,"30-45",IF(tblbuyers[[#This Row],[Age]]&lt;=60,"46-60","60+")))</f>
        <v>30-45</v>
      </c>
      <c r="Q701" t="str">
        <f>IF(tblbuyers[[#This Row],[Income]]&lt;30000,"Low",IF(tblbuyers[[#This Row],[Income]]&lt;=70000,"Medium","High"))</f>
        <v>High</v>
      </c>
      <c r="R701" s="7" t="str">
        <f>IF(OR(LOWER(TRIM(tblbuyers[[#This Row],[Purchased Bike]]))="yes",LOWER(TRIM(tblbuyers[[#This Row],[Purchased Bike]]))="y"),"Yes","No")</f>
        <v>Yes</v>
      </c>
    </row>
    <row r="702" spans="1:18"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c r="O702">
        <f>COUNTBLANK(tblbuyers[Income])</f>
        <v>0</v>
      </c>
      <c r="P702" t="str">
        <f>IF(tblbuyers[[#This Row],[Age]]&lt;30,"&lt;30",IF(tblbuyers[[#This Row],[Age]]&lt;=45,"30-45",IF(tblbuyers[[#This Row],[Age]]&lt;=60,"46-60","60+")))</f>
        <v>46-60</v>
      </c>
      <c r="Q702" t="str">
        <f>IF(tblbuyers[[#This Row],[Income]]&lt;30000,"Low",IF(tblbuyers[[#This Row],[Income]]&lt;=70000,"Medium","High"))</f>
        <v>Medium</v>
      </c>
      <c r="R702" s="7" t="str">
        <f>IF(OR(LOWER(TRIM(tblbuyers[[#This Row],[Purchased Bike]]))="yes",LOWER(TRIM(tblbuyers[[#This Row],[Purchased Bike]]))="y"),"Yes","No")</f>
        <v>No</v>
      </c>
    </row>
    <row r="703" spans="1:18"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c r="O703">
        <f>COUNTBLANK(tblbuyers[Income])</f>
        <v>0</v>
      </c>
      <c r="P703" t="str">
        <f>IF(tblbuyers[[#This Row],[Age]]&lt;30,"&lt;30",IF(tblbuyers[[#This Row],[Age]]&lt;=45,"30-45",IF(tblbuyers[[#This Row],[Age]]&lt;=60,"46-60","60+")))</f>
        <v>&lt;30</v>
      </c>
      <c r="Q703" t="str">
        <f>IF(tblbuyers[[#This Row],[Income]]&lt;30000,"Low",IF(tblbuyers[[#This Row],[Income]]&lt;=70000,"Medium","High"))</f>
        <v>Medium</v>
      </c>
      <c r="R703" s="7" t="str">
        <f>IF(OR(LOWER(TRIM(tblbuyers[[#This Row],[Purchased Bike]]))="yes",LOWER(TRIM(tblbuyers[[#This Row],[Purchased Bike]]))="y"),"Yes","No")</f>
        <v>No</v>
      </c>
    </row>
    <row r="704" spans="1:18"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c r="O704">
        <f>COUNTBLANK(tblbuyers[Income])</f>
        <v>0</v>
      </c>
      <c r="P704" t="str">
        <f>IF(tblbuyers[[#This Row],[Age]]&lt;30,"&lt;30",IF(tblbuyers[[#This Row],[Age]]&lt;=45,"30-45",IF(tblbuyers[[#This Row],[Age]]&lt;=60,"46-60","60+")))</f>
        <v>46-60</v>
      </c>
      <c r="Q704" t="str">
        <f>IF(tblbuyers[[#This Row],[Income]]&lt;30000,"Low",IF(tblbuyers[[#This Row],[Income]]&lt;=70000,"Medium","High"))</f>
        <v>High</v>
      </c>
      <c r="R704" s="7" t="str">
        <f>IF(OR(LOWER(TRIM(tblbuyers[[#This Row],[Purchased Bike]]))="yes",LOWER(TRIM(tblbuyers[[#This Row],[Purchased Bike]]))="y"),"Yes","No")</f>
        <v>Yes</v>
      </c>
    </row>
    <row r="705" spans="1:18"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c r="O705">
        <f>COUNTBLANK(tblbuyers[Income])</f>
        <v>0</v>
      </c>
      <c r="P705" t="str">
        <f>IF(tblbuyers[[#This Row],[Age]]&lt;30,"&lt;30",IF(tblbuyers[[#This Row],[Age]]&lt;=45,"30-45",IF(tblbuyers[[#This Row],[Age]]&lt;=60,"46-60","60+")))</f>
        <v>30-45</v>
      </c>
      <c r="Q705" t="str">
        <f>IF(tblbuyers[[#This Row],[Income]]&lt;30000,"Low",IF(tblbuyers[[#This Row],[Income]]&lt;=70000,"Medium","High"))</f>
        <v>Medium</v>
      </c>
      <c r="R705" s="7" t="str">
        <f>IF(OR(LOWER(TRIM(tblbuyers[[#This Row],[Purchased Bike]]))="yes",LOWER(TRIM(tblbuyers[[#This Row],[Purchased Bike]]))="y"),"Yes","No")</f>
        <v>No</v>
      </c>
    </row>
    <row r="706" spans="1:18"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c r="O706">
        <f>COUNTBLANK(tblbuyers[Income])</f>
        <v>0</v>
      </c>
      <c r="P706" t="str">
        <f>IF(tblbuyers[[#This Row],[Age]]&lt;30,"&lt;30",IF(tblbuyers[[#This Row],[Age]]&lt;=45,"30-45",IF(tblbuyers[[#This Row],[Age]]&lt;=60,"46-60","60+")))</f>
        <v>30-45</v>
      </c>
      <c r="Q706" t="str">
        <f>IF(tblbuyers[[#This Row],[Income]]&lt;30000,"Low",IF(tblbuyers[[#This Row],[Income]]&lt;=70000,"Medium","High"))</f>
        <v>Medium</v>
      </c>
      <c r="R706" s="7" t="str">
        <f>IF(OR(LOWER(TRIM(tblbuyers[[#This Row],[Purchased Bike]]))="yes",LOWER(TRIM(tblbuyers[[#This Row],[Purchased Bike]]))="y"),"Yes","No")</f>
        <v>Yes</v>
      </c>
    </row>
    <row r="707" spans="1:18" x14ac:dyDescent="0.25">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Age",IF(L707&lt;31, "Adolescent","Invalid")))</f>
        <v>Old</v>
      </c>
      <c r="N707" t="s">
        <v>18</v>
      </c>
      <c r="O707">
        <f>COUNTBLANK(tblbuyers[Income])</f>
        <v>0</v>
      </c>
      <c r="P707" t="str">
        <f>IF(tblbuyers[[#This Row],[Age]]&lt;30,"&lt;30",IF(tblbuyers[[#This Row],[Age]]&lt;=45,"30-45",IF(tblbuyers[[#This Row],[Age]]&lt;=60,"46-60","60+")))</f>
        <v>46-60</v>
      </c>
      <c r="Q707" t="str">
        <f>IF(tblbuyers[[#This Row],[Income]]&lt;30000,"Low",IF(tblbuyers[[#This Row],[Income]]&lt;=70000,"Medium","High"))</f>
        <v>Medium</v>
      </c>
      <c r="R707" s="7" t="str">
        <f>IF(OR(LOWER(TRIM(tblbuyers[[#This Row],[Purchased Bike]]))="yes",LOWER(TRIM(tblbuyers[[#This Row],[Purchased Bike]]))="y"),"Yes","No")</f>
        <v>No</v>
      </c>
    </row>
    <row r="708" spans="1:18"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c r="O708">
        <f>COUNTBLANK(tblbuyers[Income])</f>
        <v>0</v>
      </c>
      <c r="P708" t="str">
        <f>IF(tblbuyers[[#This Row],[Age]]&lt;30,"&lt;30",IF(tblbuyers[[#This Row],[Age]]&lt;=45,"30-45",IF(tblbuyers[[#This Row],[Age]]&lt;=60,"46-60","60+")))</f>
        <v>30-45</v>
      </c>
      <c r="Q708" t="str">
        <f>IF(tblbuyers[[#This Row],[Income]]&lt;30000,"Low",IF(tblbuyers[[#This Row],[Income]]&lt;=70000,"Medium","High"))</f>
        <v>Medium</v>
      </c>
      <c r="R708" s="7" t="str">
        <f>IF(OR(LOWER(TRIM(tblbuyers[[#This Row],[Purchased Bike]]))="yes",LOWER(TRIM(tblbuyers[[#This Row],[Purchased Bike]]))="y"),"Yes","No")</f>
        <v>Yes</v>
      </c>
    </row>
    <row r="709" spans="1:18"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c r="O709">
        <f>COUNTBLANK(tblbuyers[Income])</f>
        <v>0</v>
      </c>
      <c r="P709" t="str">
        <f>IF(tblbuyers[[#This Row],[Age]]&lt;30,"&lt;30",IF(tblbuyers[[#This Row],[Age]]&lt;=45,"30-45",IF(tblbuyers[[#This Row],[Age]]&lt;=60,"46-60","60+")))</f>
        <v>30-45</v>
      </c>
      <c r="Q709" t="str">
        <f>IF(tblbuyers[[#This Row],[Income]]&lt;30000,"Low",IF(tblbuyers[[#This Row],[Income]]&lt;=70000,"Medium","High"))</f>
        <v>Medium</v>
      </c>
      <c r="R709" s="7" t="str">
        <f>IF(OR(LOWER(TRIM(tblbuyers[[#This Row],[Purchased Bike]]))="yes",LOWER(TRIM(tblbuyers[[#This Row],[Purchased Bike]]))="y"),"Yes","No")</f>
        <v>Yes</v>
      </c>
    </row>
    <row r="710" spans="1:18"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c r="O710">
        <f>COUNTBLANK(tblbuyers[Income])</f>
        <v>0</v>
      </c>
      <c r="P710" t="str">
        <f>IF(tblbuyers[[#This Row],[Age]]&lt;30,"&lt;30",IF(tblbuyers[[#This Row],[Age]]&lt;=45,"30-45",IF(tblbuyers[[#This Row],[Age]]&lt;=60,"46-60","60+")))</f>
        <v>46-60</v>
      </c>
      <c r="Q710" t="str">
        <f>IF(tblbuyers[[#This Row],[Income]]&lt;30000,"Low",IF(tblbuyers[[#This Row],[Income]]&lt;=70000,"Medium","High"))</f>
        <v>Medium</v>
      </c>
      <c r="R710" s="7" t="str">
        <f>IF(OR(LOWER(TRIM(tblbuyers[[#This Row],[Purchased Bike]]))="yes",LOWER(TRIM(tblbuyers[[#This Row],[Purchased Bike]]))="y"),"Yes","No")</f>
        <v>No</v>
      </c>
    </row>
    <row r="711" spans="1:18"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c r="O711">
        <f>COUNTBLANK(tblbuyers[Income])</f>
        <v>0</v>
      </c>
      <c r="P711" t="str">
        <f>IF(tblbuyers[[#This Row],[Age]]&lt;30,"&lt;30",IF(tblbuyers[[#This Row],[Age]]&lt;=45,"30-45",IF(tblbuyers[[#This Row],[Age]]&lt;=60,"46-60","60+")))</f>
        <v>46-60</v>
      </c>
      <c r="Q711" t="str">
        <f>IF(tblbuyers[[#This Row],[Income]]&lt;30000,"Low",IF(tblbuyers[[#This Row],[Income]]&lt;=70000,"Medium","High"))</f>
        <v>Medium</v>
      </c>
      <c r="R711" s="7" t="str">
        <f>IF(OR(LOWER(TRIM(tblbuyers[[#This Row],[Purchased Bike]]))="yes",LOWER(TRIM(tblbuyers[[#This Row],[Purchased Bike]]))="y"),"Yes","No")</f>
        <v>No</v>
      </c>
    </row>
    <row r="712" spans="1:18"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c r="O712">
        <f>COUNTBLANK(tblbuyers[Income])</f>
        <v>0</v>
      </c>
      <c r="P712" t="str">
        <f>IF(tblbuyers[[#This Row],[Age]]&lt;30,"&lt;30",IF(tblbuyers[[#This Row],[Age]]&lt;=45,"30-45",IF(tblbuyers[[#This Row],[Age]]&lt;=60,"46-60","60+")))</f>
        <v>30-45</v>
      </c>
      <c r="Q712" t="str">
        <f>IF(tblbuyers[[#This Row],[Income]]&lt;30000,"Low",IF(tblbuyers[[#This Row],[Income]]&lt;=70000,"Medium","High"))</f>
        <v>Medium</v>
      </c>
      <c r="R712" s="7" t="str">
        <f>IF(OR(LOWER(TRIM(tblbuyers[[#This Row],[Purchased Bike]]))="yes",LOWER(TRIM(tblbuyers[[#This Row],[Purchased Bike]]))="y"),"Yes","No")</f>
        <v>Yes</v>
      </c>
    </row>
    <row r="713" spans="1:18"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c r="O713">
        <f>COUNTBLANK(tblbuyers[Income])</f>
        <v>0</v>
      </c>
      <c r="P713" t="str">
        <f>IF(tblbuyers[[#This Row],[Age]]&lt;30,"&lt;30",IF(tblbuyers[[#This Row],[Age]]&lt;=45,"30-45",IF(tblbuyers[[#This Row],[Age]]&lt;=60,"46-60","60+")))</f>
        <v>46-60</v>
      </c>
      <c r="Q713" t="str">
        <f>IF(tblbuyers[[#This Row],[Income]]&lt;30000,"Low",IF(tblbuyers[[#This Row],[Income]]&lt;=70000,"Medium","High"))</f>
        <v>Medium</v>
      </c>
      <c r="R713" s="7" t="str">
        <f>IF(OR(LOWER(TRIM(tblbuyers[[#This Row],[Purchased Bike]]))="yes",LOWER(TRIM(tblbuyers[[#This Row],[Purchased Bike]]))="y"),"Yes","No")</f>
        <v>No</v>
      </c>
    </row>
    <row r="714" spans="1:18"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c r="O714">
        <f>COUNTBLANK(tblbuyers[Income])</f>
        <v>0</v>
      </c>
      <c r="P714" t="str">
        <f>IF(tblbuyers[[#This Row],[Age]]&lt;30,"&lt;30",IF(tblbuyers[[#This Row],[Age]]&lt;=45,"30-45",IF(tblbuyers[[#This Row],[Age]]&lt;=60,"46-60","60+")))</f>
        <v>46-60</v>
      </c>
      <c r="Q714" t="str">
        <f>IF(tblbuyers[[#This Row],[Income]]&lt;30000,"Low",IF(tblbuyers[[#This Row],[Income]]&lt;=70000,"Medium","High"))</f>
        <v>Medium</v>
      </c>
      <c r="R714" s="7" t="str">
        <f>IF(OR(LOWER(TRIM(tblbuyers[[#This Row],[Purchased Bike]]))="yes",LOWER(TRIM(tblbuyers[[#This Row],[Purchased Bike]]))="y"),"Yes","No")</f>
        <v>No</v>
      </c>
    </row>
    <row r="715" spans="1:18"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c r="O715">
        <f>COUNTBLANK(tblbuyers[Income])</f>
        <v>0</v>
      </c>
      <c r="P715" t="str">
        <f>IF(tblbuyers[[#This Row],[Age]]&lt;30,"&lt;30",IF(tblbuyers[[#This Row],[Age]]&lt;=45,"30-45",IF(tblbuyers[[#This Row],[Age]]&lt;=60,"46-60","60+")))</f>
        <v>30-45</v>
      </c>
      <c r="Q715" t="str">
        <f>IF(tblbuyers[[#This Row],[Income]]&lt;30000,"Low",IF(tblbuyers[[#This Row],[Income]]&lt;=70000,"Medium","High"))</f>
        <v>Medium</v>
      </c>
      <c r="R715" s="7" t="str">
        <f>IF(OR(LOWER(TRIM(tblbuyers[[#This Row],[Purchased Bike]]))="yes",LOWER(TRIM(tblbuyers[[#This Row],[Purchased Bike]]))="y"),"Yes","No")</f>
        <v>No</v>
      </c>
    </row>
    <row r="716" spans="1:18"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c r="O716">
        <f>COUNTBLANK(tblbuyers[Income])</f>
        <v>0</v>
      </c>
      <c r="P716" t="str">
        <f>IF(tblbuyers[[#This Row],[Age]]&lt;30,"&lt;30",IF(tblbuyers[[#This Row],[Age]]&lt;=45,"30-45",IF(tblbuyers[[#This Row],[Age]]&lt;=60,"46-60","60+")))</f>
        <v>&lt;30</v>
      </c>
      <c r="Q716" t="str">
        <f>IF(tblbuyers[[#This Row],[Income]]&lt;30000,"Low",IF(tblbuyers[[#This Row],[Income]]&lt;=70000,"Medium","High"))</f>
        <v>Medium</v>
      </c>
      <c r="R716" s="7" t="str">
        <f>IF(OR(LOWER(TRIM(tblbuyers[[#This Row],[Purchased Bike]]))="yes",LOWER(TRIM(tblbuyers[[#This Row],[Purchased Bike]]))="y"),"Yes","No")</f>
        <v>Yes</v>
      </c>
    </row>
    <row r="717" spans="1:18"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c r="O717">
        <f>COUNTBLANK(tblbuyers[Income])</f>
        <v>0</v>
      </c>
      <c r="P717" t="str">
        <f>IF(tblbuyers[[#This Row],[Age]]&lt;30,"&lt;30",IF(tblbuyers[[#This Row],[Age]]&lt;=45,"30-45",IF(tblbuyers[[#This Row],[Age]]&lt;=60,"46-60","60+")))</f>
        <v>30-45</v>
      </c>
      <c r="Q717" t="str">
        <f>IF(tblbuyers[[#This Row],[Income]]&lt;30000,"Low",IF(tblbuyers[[#This Row],[Income]]&lt;=70000,"Medium","High"))</f>
        <v>Medium</v>
      </c>
      <c r="R717" s="7" t="str">
        <f>IF(OR(LOWER(TRIM(tblbuyers[[#This Row],[Purchased Bike]]))="yes",LOWER(TRIM(tblbuyers[[#This Row],[Purchased Bike]]))="y"),"Yes","No")</f>
        <v>Yes</v>
      </c>
    </row>
    <row r="718" spans="1:18"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c r="O718">
        <f>COUNTBLANK(tblbuyers[Income])</f>
        <v>0</v>
      </c>
      <c r="P718" t="str">
        <f>IF(tblbuyers[[#This Row],[Age]]&lt;30,"&lt;30",IF(tblbuyers[[#This Row],[Age]]&lt;=45,"30-45",IF(tblbuyers[[#This Row],[Age]]&lt;=60,"46-60","60+")))</f>
        <v>30-45</v>
      </c>
      <c r="Q718" t="str">
        <f>IF(tblbuyers[[#This Row],[Income]]&lt;30000,"Low",IF(tblbuyers[[#This Row],[Income]]&lt;=70000,"Medium","High"))</f>
        <v>High</v>
      </c>
      <c r="R718" s="7" t="str">
        <f>IF(OR(LOWER(TRIM(tblbuyers[[#This Row],[Purchased Bike]]))="yes",LOWER(TRIM(tblbuyers[[#This Row],[Purchased Bike]]))="y"),"Yes","No")</f>
        <v>No</v>
      </c>
    </row>
    <row r="719" spans="1:18"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c r="O719">
        <f>COUNTBLANK(tblbuyers[Income])</f>
        <v>0</v>
      </c>
      <c r="P719" t="str">
        <f>IF(tblbuyers[[#This Row],[Age]]&lt;30,"&lt;30",IF(tblbuyers[[#This Row],[Age]]&lt;=45,"30-45",IF(tblbuyers[[#This Row],[Age]]&lt;=60,"46-60","60+")))</f>
        <v>30-45</v>
      </c>
      <c r="Q719" t="str">
        <f>IF(tblbuyers[[#This Row],[Income]]&lt;30000,"Low",IF(tblbuyers[[#This Row],[Income]]&lt;=70000,"Medium","High"))</f>
        <v>High</v>
      </c>
      <c r="R719" s="7" t="str">
        <f>IF(OR(LOWER(TRIM(tblbuyers[[#This Row],[Purchased Bike]]))="yes",LOWER(TRIM(tblbuyers[[#This Row],[Purchased Bike]]))="y"),"Yes","No")</f>
        <v>Yes</v>
      </c>
    </row>
    <row r="720" spans="1:18"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c r="O720">
        <f>COUNTBLANK(tblbuyers[Income])</f>
        <v>0</v>
      </c>
      <c r="P720" t="str">
        <f>IF(tblbuyers[[#This Row],[Age]]&lt;30,"&lt;30",IF(tblbuyers[[#This Row],[Age]]&lt;=45,"30-45",IF(tblbuyers[[#This Row],[Age]]&lt;=60,"46-60","60+")))</f>
        <v>30-45</v>
      </c>
      <c r="Q720" t="str">
        <f>IF(tblbuyers[[#This Row],[Income]]&lt;30000,"Low",IF(tblbuyers[[#This Row],[Income]]&lt;=70000,"Medium","High"))</f>
        <v>Medium</v>
      </c>
      <c r="R720" s="7" t="str">
        <f>IF(OR(LOWER(TRIM(tblbuyers[[#This Row],[Purchased Bike]]))="yes",LOWER(TRIM(tblbuyers[[#This Row],[Purchased Bike]]))="y"),"Yes","No")</f>
        <v>Yes</v>
      </c>
    </row>
    <row r="721" spans="1:18"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c r="O721">
        <f>COUNTBLANK(tblbuyers[Income])</f>
        <v>0</v>
      </c>
      <c r="P721" t="str">
        <f>IF(tblbuyers[[#This Row],[Age]]&lt;30,"&lt;30",IF(tblbuyers[[#This Row],[Age]]&lt;=45,"30-45",IF(tblbuyers[[#This Row],[Age]]&lt;=60,"46-60","60+")))</f>
        <v>30-45</v>
      </c>
      <c r="Q721" t="str">
        <f>IF(tblbuyers[[#This Row],[Income]]&lt;30000,"Low",IF(tblbuyers[[#This Row],[Income]]&lt;=70000,"Medium","High"))</f>
        <v>Medium</v>
      </c>
      <c r="R721" s="7" t="str">
        <f>IF(OR(LOWER(TRIM(tblbuyers[[#This Row],[Purchased Bike]]))="yes",LOWER(TRIM(tblbuyers[[#This Row],[Purchased Bike]]))="y"),"Yes","No")</f>
        <v>No</v>
      </c>
    </row>
    <row r="722" spans="1:18"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c r="O722">
        <f>COUNTBLANK(tblbuyers[Income])</f>
        <v>0</v>
      </c>
      <c r="P722" t="str">
        <f>IF(tblbuyers[[#This Row],[Age]]&lt;30,"&lt;30",IF(tblbuyers[[#This Row],[Age]]&lt;=45,"30-45",IF(tblbuyers[[#This Row],[Age]]&lt;=60,"46-60","60+")))</f>
        <v>46-60</v>
      </c>
      <c r="Q722" t="str">
        <f>IF(tblbuyers[[#This Row],[Income]]&lt;30000,"Low",IF(tblbuyers[[#This Row],[Income]]&lt;=70000,"Medium","High"))</f>
        <v>Medium</v>
      </c>
      <c r="R722" s="7" t="str">
        <f>IF(OR(LOWER(TRIM(tblbuyers[[#This Row],[Purchased Bike]]))="yes",LOWER(TRIM(tblbuyers[[#This Row],[Purchased Bike]]))="y"),"Yes","No")</f>
        <v>Yes</v>
      </c>
    </row>
    <row r="723" spans="1:18"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c r="O723">
        <f>COUNTBLANK(tblbuyers[Income])</f>
        <v>0</v>
      </c>
      <c r="P723" t="str">
        <f>IF(tblbuyers[[#This Row],[Age]]&lt;30,"&lt;30",IF(tblbuyers[[#This Row],[Age]]&lt;=45,"30-45",IF(tblbuyers[[#This Row],[Age]]&lt;=60,"46-60","60+")))</f>
        <v>30-45</v>
      </c>
      <c r="Q723" t="str">
        <f>IF(tblbuyers[[#This Row],[Income]]&lt;30000,"Low",IF(tblbuyers[[#This Row],[Income]]&lt;=70000,"Medium","High"))</f>
        <v>High</v>
      </c>
      <c r="R723" s="7" t="str">
        <f>IF(OR(LOWER(TRIM(tblbuyers[[#This Row],[Purchased Bike]]))="yes",LOWER(TRIM(tblbuyers[[#This Row],[Purchased Bike]]))="y"),"Yes","No")</f>
        <v>Yes</v>
      </c>
    </row>
    <row r="724" spans="1:18"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c r="O724">
        <f>COUNTBLANK(tblbuyers[Income])</f>
        <v>0</v>
      </c>
      <c r="P724" t="str">
        <f>IF(tblbuyers[[#This Row],[Age]]&lt;30,"&lt;30",IF(tblbuyers[[#This Row],[Age]]&lt;=45,"30-45",IF(tblbuyers[[#This Row],[Age]]&lt;=60,"46-60","60+")))</f>
        <v>46-60</v>
      </c>
      <c r="Q724" t="str">
        <f>IF(tblbuyers[[#This Row],[Income]]&lt;30000,"Low",IF(tblbuyers[[#This Row],[Income]]&lt;=70000,"Medium","High"))</f>
        <v>Medium</v>
      </c>
      <c r="R724" s="7" t="str">
        <f>IF(OR(LOWER(TRIM(tblbuyers[[#This Row],[Purchased Bike]]))="yes",LOWER(TRIM(tblbuyers[[#This Row],[Purchased Bike]]))="y"),"Yes","No")</f>
        <v>No</v>
      </c>
    </row>
    <row r="725" spans="1:18"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c r="O725">
        <f>COUNTBLANK(tblbuyers[Income])</f>
        <v>0</v>
      </c>
      <c r="P725" t="str">
        <f>IF(tblbuyers[[#This Row],[Age]]&lt;30,"&lt;30",IF(tblbuyers[[#This Row],[Age]]&lt;=45,"30-45",IF(tblbuyers[[#This Row],[Age]]&lt;=60,"46-60","60+")))</f>
        <v>46-60</v>
      </c>
      <c r="Q725" t="str">
        <f>IF(tblbuyers[[#This Row],[Income]]&lt;30000,"Low",IF(tblbuyers[[#This Row],[Income]]&lt;=70000,"Medium","High"))</f>
        <v>High</v>
      </c>
      <c r="R725" s="7" t="str">
        <f>IF(OR(LOWER(TRIM(tblbuyers[[#This Row],[Purchased Bike]]))="yes",LOWER(TRIM(tblbuyers[[#This Row],[Purchased Bike]]))="y"),"Yes","No")</f>
        <v>No</v>
      </c>
    </row>
    <row r="726" spans="1:18"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c r="O726">
        <f>COUNTBLANK(tblbuyers[Income])</f>
        <v>0</v>
      </c>
      <c r="P726" t="str">
        <f>IF(tblbuyers[[#This Row],[Age]]&lt;30,"&lt;30",IF(tblbuyers[[#This Row],[Age]]&lt;=45,"30-45",IF(tblbuyers[[#This Row],[Age]]&lt;=60,"46-60","60+")))</f>
        <v>46-60</v>
      </c>
      <c r="Q726" t="str">
        <f>IF(tblbuyers[[#This Row],[Income]]&lt;30000,"Low",IF(tblbuyers[[#This Row],[Income]]&lt;=70000,"Medium","High"))</f>
        <v>Medium</v>
      </c>
      <c r="R726" s="7" t="str">
        <f>IF(OR(LOWER(TRIM(tblbuyers[[#This Row],[Purchased Bike]]))="yes",LOWER(TRIM(tblbuyers[[#This Row],[Purchased Bike]]))="y"),"Yes","No")</f>
        <v>No</v>
      </c>
    </row>
    <row r="727" spans="1:18"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c r="O727">
        <f>COUNTBLANK(tblbuyers[Income])</f>
        <v>0</v>
      </c>
      <c r="P727" t="str">
        <f>IF(tblbuyers[[#This Row],[Age]]&lt;30,"&lt;30",IF(tblbuyers[[#This Row],[Age]]&lt;=45,"30-45",IF(tblbuyers[[#This Row],[Age]]&lt;=60,"46-60","60+")))</f>
        <v>30-45</v>
      </c>
      <c r="Q727" t="str">
        <f>IF(tblbuyers[[#This Row],[Income]]&lt;30000,"Low",IF(tblbuyers[[#This Row],[Income]]&lt;=70000,"Medium","High"))</f>
        <v>High</v>
      </c>
      <c r="R727" s="7" t="str">
        <f>IF(OR(LOWER(TRIM(tblbuyers[[#This Row],[Purchased Bike]]))="yes",LOWER(TRIM(tblbuyers[[#This Row],[Purchased Bike]]))="y"),"Yes","No")</f>
        <v>Yes</v>
      </c>
    </row>
    <row r="728" spans="1:18"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c r="O728">
        <f>COUNTBLANK(tblbuyers[Income])</f>
        <v>0</v>
      </c>
      <c r="P728" t="str">
        <f>IF(tblbuyers[[#This Row],[Age]]&lt;30,"&lt;30",IF(tblbuyers[[#This Row],[Age]]&lt;=45,"30-45",IF(tblbuyers[[#This Row],[Age]]&lt;=60,"46-60","60+")))</f>
        <v>46-60</v>
      </c>
      <c r="Q728" t="str">
        <f>IF(tblbuyers[[#This Row],[Income]]&lt;30000,"Low",IF(tblbuyers[[#This Row],[Income]]&lt;=70000,"Medium","High"))</f>
        <v>Low</v>
      </c>
      <c r="R728" s="7" t="str">
        <f>IF(OR(LOWER(TRIM(tblbuyers[[#This Row],[Purchased Bike]]))="yes",LOWER(TRIM(tblbuyers[[#This Row],[Purchased Bike]]))="y"),"Yes","No")</f>
        <v>No</v>
      </c>
    </row>
    <row r="729" spans="1:18"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c r="O729">
        <f>COUNTBLANK(tblbuyers[Income])</f>
        <v>0</v>
      </c>
      <c r="P729" t="str">
        <f>IF(tblbuyers[[#This Row],[Age]]&lt;30,"&lt;30",IF(tblbuyers[[#This Row],[Age]]&lt;=45,"30-45",IF(tblbuyers[[#This Row],[Age]]&lt;=60,"46-60","60+")))</f>
        <v>46-60</v>
      </c>
      <c r="Q729" t="str">
        <f>IF(tblbuyers[[#This Row],[Income]]&lt;30000,"Low",IF(tblbuyers[[#This Row],[Income]]&lt;=70000,"Medium","High"))</f>
        <v>Medium</v>
      </c>
      <c r="R729" s="7" t="str">
        <f>IF(OR(LOWER(TRIM(tblbuyers[[#This Row],[Purchased Bike]]))="yes",LOWER(TRIM(tblbuyers[[#This Row],[Purchased Bike]]))="y"),"Yes","No")</f>
        <v>Yes</v>
      </c>
    </row>
    <row r="730" spans="1:18"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c r="O730">
        <f>COUNTBLANK(tblbuyers[Income])</f>
        <v>0</v>
      </c>
      <c r="P730" t="str">
        <f>IF(tblbuyers[[#This Row],[Age]]&lt;30,"&lt;30",IF(tblbuyers[[#This Row],[Age]]&lt;=45,"30-45",IF(tblbuyers[[#This Row],[Age]]&lt;=60,"46-60","60+")))</f>
        <v>&lt;30</v>
      </c>
      <c r="Q730" t="str">
        <f>IF(tblbuyers[[#This Row],[Income]]&lt;30000,"Low",IF(tblbuyers[[#This Row],[Income]]&lt;=70000,"Medium","High"))</f>
        <v>Medium</v>
      </c>
      <c r="R730" s="7" t="str">
        <f>IF(OR(LOWER(TRIM(tblbuyers[[#This Row],[Purchased Bike]]))="yes",LOWER(TRIM(tblbuyers[[#This Row],[Purchased Bike]]))="y"),"Yes","No")</f>
        <v>No</v>
      </c>
    </row>
    <row r="731" spans="1:18"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c r="O731">
        <f>COUNTBLANK(tblbuyers[Income])</f>
        <v>0</v>
      </c>
      <c r="P731" t="str">
        <f>IF(tblbuyers[[#This Row],[Age]]&lt;30,"&lt;30",IF(tblbuyers[[#This Row],[Age]]&lt;=45,"30-45",IF(tblbuyers[[#This Row],[Age]]&lt;=60,"46-60","60+")))</f>
        <v>46-60</v>
      </c>
      <c r="Q731" t="str">
        <f>IF(tblbuyers[[#This Row],[Income]]&lt;30000,"Low",IF(tblbuyers[[#This Row],[Income]]&lt;=70000,"Medium","High"))</f>
        <v>Medium</v>
      </c>
      <c r="R731" s="7" t="str">
        <f>IF(OR(LOWER(TRIM(tblbuyers[[#This Row],[Purchased Bike]]))="yes",LOWER(TRIM(tblbuyers[[#This Row],[Purchased Bike]]))="y"),"Yes","No")</f>
        <v>Yes</v>
      </c>
    </row>
    <row r="732" spans="1:18"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c r="O732">
        <f>COUNTBLANK(tblbuyers[Income])</f>
        <v>0</v>
      </c>
      <c r="P732" t="str">
        <f>IF(tblbuyers[[#This Row],[Age]]&lt;30,"&lt;30",IF(tblbuyers[[#This Row],[Age]]&lt;=45,"30-45",IF(tblbuyers[[#This Row],[Age]]&lt;=60,"46-60","60+")))</f>
        <v>30-45</v>
      </c>
      <c r="Q732" t="str">
        <f>IF(tblbuyers[[#This Row],[Income]]&lt;30000,"Low",IF(tblbuyers[[#This Row],[Income]]&lt;=70000,"Medium","High"))</f>
        <v>Medium</v>
      </c>
      <c r="R732" s="7" t="str">
        <f>IF(OR(LOWER(TRIM(tblbuyers[[#This Row],[Purchased Bike]]))="yes",LOWER(TRIM(tblbuyers[[#This Row],[Purchased Bike]]))="y"),"Yes","No")</f>
        <v>Yes</v>
      </c>
    </row>
    <row r="733" spans="1:18"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c r="O733">
        <f>COUNTBLANK(tblbuyers[Income])</f>
        <v>0</v>
      </c>
      <c r="P733" t="str">
        <f>IF(tblbuyers[[#This Row],[Age]]&lt;30,"&lt;30",IF(tblbuyers[[#This Row],[Age]]&lt;=45,"30-45",IF(tblbuyers[[#This Row],[Age]]&lt;=60,"46-60","60+")))</f>
        <v>46-60</v>
      </c>
      <c r="Q733" t="str">
        <f>IF(tblbuyers[[#This Row],[Income]]&lt;30000,"Low",IF(tblbuyers[[#This Row],[Income]]&lt;=70000,"Medium","High"))</f>
        <v>Medium</v>
      </c>
      <c r="R733" s="7" t="str">
        <f>IF(OR(LOWER(TRIM(tblbuyers[[#This Row],[Purchased Bike]]))="yes",LOWER(TRIM(tblbuyers[[#This Row],[Purchased Bike]]))="y"),"Yes","No")</f>
        <v>Yes</v>
      </c>
    </row>
    <row r="734" spans="1:18"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c r="O734">
        <f>COUNTBLANK(tblbuyers[Income])</f>
        <v>0</v>
      </c>
      <c r="P734" t="str">
        <f>IF(tblbuyers[[#This Row],[Age]]&lt;30,"&lt;30",IF(tblbuyers[[#This Row],[Age]]&lt;=45,"30-45",IF(tblbuyers[[#This Row],[Age]]&lt;=60,"46-60","60+")))</f>
        <v>30-45</v>
      </c>
      <c r="Q734" t="str">
        <f>IF(tblbuyers[[#This Row],[Income]]&lt;30000,"Low",IF(tblbuyers[[#This Row],[Income]]&lt;=70000,"Medium","High"))</f>
        <v>Medium</v>
      </c>
      <c r="R734" s="7" t="str">
        <f>IF(OR(LOWER(TRIM(tblbuyers[[#This Row],[Purchased Bike]]))="yes",LOWER(TRIM(tblbuyers[[#This Row],[Purchased Bike]]))="y"),"Yes","No")</f>
        <v>Yes</v>
      </c>
    </row>
    <row r="735" spans="1:18"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c r="O735">
        <f>COUNTBLANK(tblbuyers[Income])</f>
        <v>0</v>
      </c>
      <c r="P735" t="str">
        <f>IF(tblbuyers[[#This Row],[Age]]&lt;30,"&lt;30",IF(tblbuyers[[#This Row],[Age]]&lt;=45,"30-45",IF(tblbuyers[[#This Row],[Age]]&lt;=60,"46-60","60+")))</f>
        <v>30-45</v>
      </c>
      <c r="Q735" t="str">
        <f>IF(tblbuyers[[#This Row],[Income]]&lt;30000,"Low",IF(tblbuyers[[#This Row],[Income]]&lt;=70000,"Medium","High"))</f>
        <v>High</v>
      </c>
      <c r="R735" s="7" t="str">
        <f>IF(OR(LOWER(TRIM(tblbuyers[[#This Row],[Purchased Bike]]))="yes",LOWER(TRIM(tblbuyers[[#This Row],[Purchased Bike]]))="y"),"Yes","No")</f>
        <v>No</v>
      </c>
    </row>
    <row r="736" spans="1:18"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c r="O736">
        <f>COUNTBLANK(tblbuyers[Income])</f>
        <v>0</v>
      </c>
      <c r="P736" t="str">
        <f>IF(tblbuyers[[#This Row],[Age]]&lt;30,"&lt;30",IF(tblbuyers[[#This Row],[Age]]&lt;=45,"30-45",IF(tblbuyers[[#This Row],[Age]]&lt;=60,"46-60","60+")))</f>
        <v>30-45</v>
      </c>
      <c r="Q736" t="str">
        <f>IF(tblbuyers[[#This Row],[Income]]&lt;30000,"Low",IF(tblbuyers[[#This Row],[Income]]&lt;=70000,"Medium","High"))</f>
        <v>High</v>
      </c>
      <c r="R736" s="7" t="str">
        <f>IF(OR(LOWER(TRIM(tblbuyers[[#This Row],[Purchased Bike]]))="yes",LOWER(TRIM(tblbuyers[[#This Row],[Purchased Bike]]))="y"),"Yes","No")</f>
        <v>Yes</v>
      </c>
    </row>
    <row r="737" spans="1:18"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c r="O737">
        <f>COUNTBLANK(tblbuyers[Income])</f>
        <v>0</v>
      </c>
      <c r="P737" t="str">
        <f>IF(tblbuyers[[#This Row],[Age]]&lt;30,"&lt;30",IF(tblbuyers[[#This Row],[Age]]&lt;=45,"30-45",IF(tblbuyers[[#This Row],[Age]]&lt;=60,"46-60","60+")))</f>
        <v>&lt;30</v>
      </c>
      <c r="Q737" t="str">
        <f>IF(tblbuyers[[#This Row],[Income]]&lt;30000,"Low",IF(tblbuyers[[#This Row],[Income]]&lt;=70000,"Medium","High"))</f>
        <v>Medium</v>
      </c>
      <c r="R737" s="7" t="str">
        <f>IF(OR(LOWER(TRIM(tblbuyers[[#This Row],[Purchased Bike]]))="yes",LOWER(TRIM(tblbuyers[[#This Row],[Purchased Bike]]))="y"),"Yes","No")</f>
        <v>No</v>
      </c>
    </row>
    <row r="738" spans="1:18"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c r="O738">
        <f>COUNTBLANK(tblbuyers[Income])</f>
        <v>0</v>
      </c>
      <c r="P738" t="str">
        <f>IF(tblbuyers[[#This Row],[Age]]&lt;30,"&lt;30",IF(tblbuyers[[#This Row],[Age]]&lt;=45,"30-45",IF(tblbuyers[[#This Row],[Age]]&lt;=60,"46-60","60+")))</f>
        <v>30-45</v>
      </c>
      <c r="Q738" t="str">
        <f>IF(tblbuyers[[#This Row],[Income]]&lt;30000,"Low",IF(tblbuyers[[#This Row],[Income]]&lt;=70000,"Medium","High"))</f>
        <v>Medium</v>
      </c>
      <c r="R738" s="7" t="str">
        <f>IF(OR(LOWER(TRIM(tblbuyers[[#This Row],[Purchased Bike]]))="yes",LOWER(TRIM(tblbuyers[[#This Row],[Purchased Bike]]))="y"),"Yes","No")</f>
        <v>No</v>
      </c>
    </row>
    <row r="739" spans="1:18"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c r="O739">
        <f>COUNTBLANK(tblbuyers[Income])</f>
        <v>0</v>
      </c>
      <c r="P739" t="str">
        <f>IF(tblbuyers[[#This Row],[Age]]&lt;30,"&lt;30",IF(tblbuyers[[#This Row],[Age]]&lt;=45,"30-45",IF(tblbuyers[[#This Row],[Age]]&lt;=60,"46-60","60+")))</f>
        <v>46-60</v>
      </c>
      <c r="Q739" t="str">
        <f>IF(tblbuyers[[#This Row],[Income]]&lt;30000,"Low",IF(tblbuyers[[#This Row],[Income]]&lt;=70000,"Medium","High"))</f>
        <v>Medium</v>
      </c>
      <c r="R739" s="7" t="str">
        <f>IF(OR(LOWER(TRIM(tblbuyers[[#This Row],[Purchased Bike]]))="yes",LOWER(TRIM(tblbuyers[[#This Row],[Purchased Bike]]))="y"),"Yes","No")</f>
        <v>No</v>
      </c>
    </row>
    <row r="740" spans="1:18"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c r="O740">
        <f>COUNTBLANK(tblbuyers[Income])</f>
        <v>0</v>
      </c>
      <c r="P740" t="str">
        <f>IF(tblbuyers[[#This Row],[Age]]&lt;30,"&lt;30",IF(tblbuyers[[#This Row],[Age]]&lt;=45,"30-45",IF(tblbuyers[[#This Row],[Age]]&lt;=60,"46-60","60+")))</f>
        <v>46-60</v>
      </c>
      <c r="Q740" t="str">
        <f>IF(tblbuyers[[#This Row],[Income]]&lt;30000,"Low",IF(tblbuyers[[#This Row],[Income]]&lt;=70000,"Medium","High"))</f>
        <v>Medium</v>
      </c>
      <c r="R740" s="7" t="str">
        <f>IF(OR(LOWER(TRIM(tblbuyers[[#This Row],[Purchased Bike]]))="yes",LOWER(TRIM(tblbuyers[[#This Row],[Purchased Bike]]))="y"),"Yes","No")</f>
        <v>Yes</v>
      </c>
    </row>
    <row r="741" spans="1:18"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c r="O741">
        <f>COUNTBLANK(tblbuyers[Income])</f>
        <v>0</v>
      </c>
      <c r="P741" t="str">
        <f>IF(tblbuyers[[#This Row],[Age]]&lt;30,"&lt;30",IF(tblbuyers[[#This Row],[Age]]&lt;=45,"30-45",IF(tblbuyers[[#This Row],[Age]]&lt;=60,"46-60","60+")))</f>
        <v>46-60</v>
      </c>
      <c r="Q741" t="str">
        <f>IF(tblbuyers[[#This Row],[Income]]&lt;30000,"Low",IF(tblbuyers[[#This Row],[Income]]&lt;=70000,"Medium","High"))</f>
        <v>Medium</v>
      </c>
      <c r="R741" s="7" t="str">
        <f>IF(OR(LOWER(TRIM(tblbuyers[[#This Row],[Purchased Bike]]))="yes",LOWER(TRIM(tblbuyers[[#This Row],[Purchased Bike]]))="y"),"Yes","No")</f>
        <v>No</v>
      </c>
    </row>
    <row r="742" spans="1:18"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c r="O742">
        <f>COUNTBLANK(tblbuyers[Income])</f>
        <v>0</v>
      </c>
      <c r="P742" t="str">
        <f>IF(tblbuyers[[#This Row],[Age]]&lt;30,"&lt;30",IF(tblbuyers[[#This Row],[Age]]&lt;=45,"30-45",IF(tblbuyers[[#This Row],[Age]]&lt;=60,"46-60","60+")))</f>
        <v>30-45</v>
      </c>
      <c r="Q742" t="str">
        <f>IF(tblbuyers[[#This Row],[Income]]&lt;30000,"Low",IF(tblbuyers[[#This Row],[Income]]&lt;=70000,"Medium","High"))</f>
        <v>Medium</v>
      </c>
      <c r="R742" s="7" t="str">
        <f>IF(OR(LOWER(TRIM(tblbuyers[[#This Row],[Purchased Bike]]))="yes",LOWER(TRIM(tblbuyers[[#This Row],[Purchased Bike]]))="y"),"Yes","No")</f>
        <v>No</v>
      </c>
    </row>
    <row r="743" spans="1:18"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c r="O743">
        <f>COUNTBLANK(tblbuyers[Income])</f>
        <v>0</v>
      </c>
      <c r="P743" t="str">
        <f>IF(tblbuyers[[#This Row],[Age]]&lt;30,"&lt;30",IF(tblbuyers[[#This Row],[Age]]&lt;=45,"30-45",IF(tblbuyers[[#This Row],[Age]]&lt;=60,"46-60","60+")))</f>
        <v>46-60</v>
      </c>
      <c r="Q743" t="str">
        <f>IF(tblbuyers[[#This Row],[Income]]&lt;30000,"Low",IF(tblbuyers[[#This Row],[Income]]&lt;=70000,"Medium","High"))</f>
        <v>Medium</v>
      </c>
      <c r="R743" s="7" t="str">
        <f>IF(OR(LOWER(TRIM(tblbuyers[[#This Row],[Purchased Bike]]))="yes",LOWER(TRIM(tblbuyers[[#This Row],[Purchased Bike]]))="y"),"Yes","No")</f>
        <v>Yes</v>
      </c>
    </row>
    <row r="744" spans="1:18"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c r="O744">
        <f>COUNTBLANK(tblbuyers[Income])</f>
        <v>0</v>
      </c>
      <c r="P744" t="str">
        <f>IF(tblbuyers[[#This Row],[Age]]&lt;30,"&lt;30",IF(tblbuyers[[#This Row],[Age]]&lt;=45,"30-45",IF(tblbuyers[[#This Row],[Age]]&lt;=60,"46-60","60+")))</f>
        <v>30-45</v>
      </c>
      <c r="Q744" t="str">
        <f>IF(tblbuyers[[#This Row],[Income]]&lt;30000,"Low",IF(tblbuyers[[#This Row],[Income]]&lt;=70000,"Medium","High"))</f>
        <v>Medium</v>
      </c>
      <c r="R744" s="7" t="str">
        <f>IF(OR(LOWER(TRIM(tblbuyers[[#This Row],[Purchased Bike]]))="yes",LOWER(TRIM(tblbuyers[[#This Row],[Purchased Bike]]))="y"),"Yes","No")</f>
        <v>No</v>
      </c>
    </row>
    <row r="745" spans="1:18"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c r="O745">
        <f>COUNTBLANK(tblbuyers[Income])</f>
        <v>0</v>
      </c>
      <c r="P745" t="str">
        <f>IF(tblbuyers[[#This Row],[Age]]&lt;30,"&lt;30",IF(tblbuyers[[#This Row],[Age]]&lt;=45,"30-45",IF(tblbuyers[[#This Row],[Age]]&lt;=60,"46-60","60+")))</f>
        <v>30-45</v>
      </c>
      <c r="Q745" t="str">
        <f>IF(tblbuyers[[#This Row],[Income]]&lt;30000,"Low",IF(tblbuyers[[#This Row],[Income]]&lt;=70000,"Medium","High"))</f>
        <v>High</v>
      </c>
      <c r="R745" s="7" t="str">
        <f>IF(OR(LOWER(TRIM(tblbuyers[[#This Row],[Purchased Bike]]))="yes",LOWER(TRIM(tblbuyers[[#This Row],[Purchased Bike]]))="y"),"Yes","No")</f>
        <v>No</v>
      </c>
    </row>
    <row r="746" spans="1:18"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c r="O746">
        <f>COUNTBLANK(tblbuyers[Income])</f>
        <v>0</v>
      </c>
      <c r="P746" t="str">
        <f>IF(tblbuyers[[#This Row],[Age]]&lt;30,"&lt;30",IF(tblbuyers[[#This Row],[Age]]&lt;=45,"30-45",IF(tblbuyers[[#This Row],[Age]]&lt;=60,"46-60","60+")))</f>
        <v>46-60</v>
      </c>
      <c r="Q746" t="str">
        <f>IF(tblbuyers[[#This Row],[Income]]&lt;30000,"Low",IF(tblbuyers[[#This Row],[Income]]&lt;=70000,"Medium","High"))</f>
        <v>Medium</v>
      </c>
      <c r="R746" s="7" t="str">
        <f>IF(OR(LOWER(TRIM(tblbuyers[[#This Row],[Purchased Bike]]))="yes",LOWER(TRIM(tblbuyers[[#This Row],[Purchased Bike]]))="y"),"Yes","No")</f>
        <v>No</v>
      </c>
    </row>
    <row r="747" spans="1:18"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c r="O747">
        <f>COUNTBLANK(tblbuyers[Income])</f>
        <v>0</v>
      </c>
      <c r="P747" t="str">
        <f>IF(tblbuyers[[#This Row],[Age]]&lt;30,"&lt;30",IF(tblbuyers[[#This Row],[Age]]&lt;=45,"30-45",IF(tblbuyers[[#This Row],[Age]]&lt;=60,"46-60","60+")))</f>
        <v>46-60</v>
      </c>
      <c r="Q747" t="str">
        <f>IF(tblbuyers[[#This Row],[Income]]&lt;30000,"Low",IF(tblbuyers[[#This Row],[Income]]&lt;=70000,"Medium","High"))</f>
        <v>Medium</v>
      </c>
      <c r="R747" s="7" t="str">
        <f>IF(OR(LOWER(TRIM(tblbuyers[[#This Row],[Purchased Bike]]))="yes",LOWER(TRIM(tblbuyers[[#This Row],[Purchased Bike]]))="y"),"Yes","No")</f>
        <v>Yes</v>
      </c>
    </row>
    <row r="748" spans="1:18"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c r="O748">
        <f>COUNTBLANK(tblbuyers[Income])</f>
        <v>0</v>
      </c>
      <c r="P748" t="str">
        <f>IF(tblbuyers[[#This Row],[Age]]&lt;30,"&lt;30",IF(tblbuyers[[#This Row],[Age]]&lt;=45,"30-45",IF(tblbuyers[[#This Row],[Age]]&lt;=60,"46-60","60+")))</f>
        <v>46-60</v>
      </c>
      <c r="Q748" t="str">
        <f>IF(tblbuyers[[#This Row],[Income]]&lt;30000,"Low",IF(tblbuyers[[#This Row],[Income]]&lt;=70000,"Medium","High"))</f>
        <v>Medium</v>
      </c>
      <c r="R748" s="7" t="str">
        <f>IF(OR(LOWER(TRIM(tblbuyers[[#This Row],[Purchased Bike]]))="yes",LOWER(TRIM(tblbuyers[[#This Row],[Purchased Bike]]))="y"),"Yes","No")</f>
        <v>No</v>
      </c>
    </row>
    <row r="749" spans="1:18"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c r="O749">
        <f>COUNTBLANK(tblbuyers[Income])</f>
        <v>0</v>
      </c>
      <c r="P749" t="str">
        <f>IF(tblbuyers[[#This Row],[Age]]&lt;30,"&lt;30",IF(tblbuyers[[#This Row],[Age]]&lt;=45,"30-45",IF(tblbuyers[[#This Row],[Age]]&lt;=60,"46-60","60+")))</f>
        <v>30-45</v>
      </c>
      <c r="Q749" t="str">
        <f>IF(tblbuyers[[#This Row],[Income]]&lt;30000,"Low",IF(tblbuyers[[#This Row],[Income]]&lt;=70000,"Medium","High"))</f>
        <v>Medium</v>
      </c>
      <c r="R749" s="7" t="str">
        <f>IF(OR(LOWER(TRIM(tblbuyers[[#This Row],[Purchased Bike]]))="yes",LOWER(TRIM(tblbuyers[[#This Row],[Purchased Bike]]))="y"),"Yes","No")</f>
        <v>No</v>
      </c>
    </row>
    <row r="750" spans="1:18"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c r="O750">
        <f>COUNTBLANK(tblbuyers[Income])</f>
        <v>0</v>
      </c>
      <c r="P750" t="str">
        <f>IF(tblbuyers[[#This Row],[Age]]&lt;30,"&lt;30",IF(tblbuyers[[#This Row],[Age]]&lt;=45,"30-45",IF(tblbuyers[[#This Row],[Age]]&lt;=60,"46-60","60+")))</f>
        <v>60+</v>
      </c>
      <c r="Q750" t="str">
        <f>IF(tblbuyers[[#This Row],[Income]]&lt;30000,"Low",IF(tblbuyers[[#This Row],[Income]]&lt;=70000,"Medium","High"))</f>
        <v>High</v>
      </c>
      <c r="R750" s="7" t="str">
        <f>IF(OR(LOWER(TRIM(tblbuyers[[#This Row],[Purchased Bike]]))="yes",LOWER(TRIM(tblbuyers[[#This Row],[Purchased Bike]]))="y"),"Yes","No")</f>
        <v>No</v>
      </c>
    </row>
    <row r="751" spans="1:18"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c r="O751">
        <f>COUNTBLANK(tblbuyers[Income])</f>
        <v>0</v>
      </c>
      <c r="P751" t="str">
        <f>IF(tblbuyers[[#This Row],[Age]]&lt;30,"&lt;30",IF(tblbuyers[[#This Row],[Age]]&lt;=45,"30-45",IF(tblbuyers[[#This Row],[Age]]&lt;=60,"46-60","60+")))</f>
        <v>46-60</v>
      </c>
      <c r="Q751" t="str">
        <f>IF(tblbuyers[[#This Row],[Income]]&lt;30000,"Low",IF(tblbuyers[[#This Row],[Income]]&lt;=70000,"Medium","High"))</f>
        <v>Medium</v>
      </c>
      <c r="R751" s="7" t="str">
        <f>IF(OR(LOWER(TRIM(tblbuyers[[#This Row],[Purchased Bike]]))="yes",LOWER(TRIM(tblbuyers[[#This Row],[Purchased Bike]]))="y"),"Yes","No")</f>
        <v>No</v>
      </c>
    </row>
    <row r="752" spans="1:18"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c r="O752">
        <f>COUNTBLANK(tblbuyers[Income])</f>
        <v>0</v>
      </c>
      <c r="P752" t="str">
        <f>IF(tblbuyers[[#This Row],[Age]]&lt;30,"&lt;30",IF(tblbuyers[[#This Row],[Age]]&lt;=45,"30-45",IF(tblbuyers[[#This Row],[Age]]&lt;=60,"46-60","60+")))</f>
        <v>46-60</v>
      </c>
      <c r="Q752" t="str">
        <f>IF(tblbuyers[[#This Row],[Income]]&lt;30000,"Low",IF(tblbuyers[[#This Row],[Income]]&lt;=70000,"Medium","High"))</f>
        <v>Medium</v>
      </c>
      <c r="R752" s="7" t="str">
        <f>IF(OR(LOWER(TRIM(tblbuyers[[#This Row],[Purchased Bike]]))="yes",LOWER(TRIM(tblbuyers[[#This Row],[Purchased Bike]]))="y"),"Yes","No")</f>
        <v>No</v>
      </c>
    </row>
    <row r="753" spans="1:18"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c r="O753">
        <f>COUNTBLANK(tblbuyers[Income])</f>
        <v>0</v>
      </c>
      <c r="P753" t="str">
        <f>IF(tblbuyers[[#This Row],[Age]]&lt;30,"&lt;30",IF(tblbuyers[[#This Row],[Age]]&lt;=45,"30-45",IF(tblbuyers[[#This Row],[Age]]&lt;=60,"46-60","60+")))</f>
        <v>30-45</v>
      </c>
      <c r="Q753" t="str">
        <f>IF(tblbuyers[[#This Row],[Income]]&lt;30000,"Low",IF(tblbuyers[[#This Row],[Income]]&lt;=70000,"Medium","High"))</f>
        <v>Medium</v>
      </c>
      <c r="R753" s="7" t="str">
        <f>IF(OR(LOWER(TRIM(tblbuyers[[#This Row],[Purchased Bike]]))="yes",LOWER(TRIM(tblbuyers[[#This Row],[Purchased Bike]]))="y"),"Yes","No")</f>
        <v>No</v>
      </c>
    </row>
    <row r="754" spans="1:18"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c r="O754">
        <f>COUNTBLANK(tblbuyers[Income])</f>
        <v>0</v>
      </c>
      <c r="P754" t="str">
        <f>IF(tblbuyers[[#This Row],[Age]]&lt;30,"&lt;30",IF(tblbuyers[[#This Row],[Age]]&lt;=45,"30-45",IF(tblbuyers[[#This Row],[Age]]&lt;=60,"46-60","60+")))</f>
        <v>30-45</v>
      </c>
      <c r="Q754" t="str">
        <f>IF(tblbuyers[[#This Row],[Income]]&lt;30000,"Low",IF(tblbuyers[[#This Row],[Income]]&lt;=70000,"Medium","High"))</f>
        <v>Medium</v>
      </c>
      <c r="R754" s="7" t="str">
        <f>IF(OR(LOWER(TRIM(tblbuyers[[#This Row],[Purchased Bike]]))="yes",LOWER(TRIM(tblbuyers[[#This Row],[Purchased Bike]]))="y"),"Yes","No")</f>
        <v>No</v>
      </c>
    </row>
    <row r="755" spans="1:18"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c r="O755">
        <f>COUNTBLANK(tblbuyers[Income])</f>
        <v>0</v>
      </c>
      <c r="P755" t="str">
        <f>IF(tblbuyers[[#This Row],[Age]]&lt;30,"&lt;30",IF(tblbuyers[[#This Row],[Age]]&lt;=45,"30-45",IF(tblbuyers[[#This Row],[Age]]&lt;=60,"46-60","60+")))</f>
        <v>&lt;30</v>
      </c>
      <c r="Q755" t="str">
        <f>IF(tblbuyers[[#This Row],[Income]]&lt;30000,"Low",IF(tblbuyers[[#This Row],[Income]]&lt;=70000,"Medium","High"))</f>
        <v>Medium</v>
      </c>
      <c r="R755" s="7" t="str">
        <f>IF(OR(LOWER(TRIM(tblbuyers[[#This Row],[Purchased Bike]]))="yes",LOWER(TRIM(tblbuyers[[#This Row],[Purchased Bike]]))="y"),"Yes","No")</f>
        <v>No</v>
      </c>
    </row>
    <row r="756" spans="1:18"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c r="O756">
        <f>COUNTBLANK(tblbuyers[Income])</f>
        <v>0</v>
      </c>
      <c r="P756" t="str">
        <f>IF(tblbuyers[[#This Row],[Age]]&lt;30,"&lt;30",IF(tblbuyers[[#This Row],[Age]]&lt;=45,"30-45",IF(tblbuyers[[#This Row],[Age]]&lt;=60,"46-60","60+")))</f>
        <v>46-60</v>
      </c>
      <c r="Q756" t="str">
        <f>IF(tblbuyers[[#This Row],[Income]]&lt;30000,"Low",IF(tblbuyers[[#This Row],[Income]]&lt;=70000,"Medium","High"))</f>
        <v>Medium</v>
      </c>
      <c r="R756" s="7" t="str">
        <f>IF(OR(LOWER(TRIM(tblbuyers[[#This Row],[Purchased Bike]]))="yes",LOWER(TRIM(tblbuyers[[#This Row],[Purchased Bike]]))="y"),"Yes","No")</f>
        <v>Yes</v>
      </c>
    </row>
    <row r="757" spans="1:18"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c r="O757">
        <f>COUNTBLANK(tblbuyers[Income])</f>
        <v>0</v>
      </c>
      <c r="P757" t="str">
        <f>IF(tblbuyers[[#This Row],[Age]]&lt;30,"&lt;30",IF(tblbuyers[[#This Row],[Age]]&lt;=45,"30-45",IF(tblbuyers[[#This Row],[Age]]&lt;=60,"46-60","60+")))</f>
        <v>46-60</v>
      </c>
      <c r="Q757" t="str">
        <f>IF(tblbuyers[[#This Row],[Income]]&lt;30000,"Low",IF(tblbuyers[[#This Row],[Income]]&lt;=70000,"Medium","High"))</f>
        <v>Medium</v>
      </c>
      <c r="R757" s="7" t="str">
        <f>IF(OR(LOWER(TRIM(tblbuyers[[#This Row],[Purchased Bike]]))="yes",LOWER(TRIM(tblbuyers[[#This Row],[Purchased Bike]]))="y"),"Yes","No")</f>
        <v>No</v>
      </c>
    </row>
    <row r="758" spans="1:18"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c r="O758">
        <f>COUNTBLANK(tblbuyers[Income])</f>
        <v>0</v>
      </c>
      <c r="P758" t="str">
        <f>IF(tblbuyers[[#This Row],[Age]]&lt;30,"&lt;30",IF(tblbuyers[[#This Row],[Age]]&lt;=45,"30-45",IF(tblbuyers[[#This Row],[Age]]&lt;=60,"46-60","60+")))</f>
        <v>30-45</v>
      </c>
      <c r="Q758" t="str">
        <f>IF(tblbuyers[[#This Row],[Income]]&lt;30000,"Low",IF(tblbuyers[[#This Row],[Income]]&lt;=70000,"Medium","High"))</f>
        <v>Medium</v>
      </c>
      <c r="R758" s="7" t="str">
        <f>IF(OR(LOWER(TRIM(tblbuyers[[#This Row],[Purchased Bike]]))="yes",LOWER(TRIM(tblbuyers[[#This Row],[Purchased Bike]]))="y"),"Yes","No")</f>
        <v>Yes</v>
      </c>
    </row>
    <row r="759" spans="1:18"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c r="O759">
        <f>COUNTBLANK(tblbuyers[Income])</f>
        <v>0</v>
      </c>
      <c r="P759" t="str">
        <f>IF(tblbuyers[[#This Row],[Age]]&lt;30,"&lt;30",IF(tblbuyers[[#This Row],[Age]]&lt;=45,"30-45",IF(tblbuyers[[#This Row],[Age]]&lt;=60,"46-60","60+")))</f>
        <v>46-60</v>
      </c>
      <c r="Q759" t="str">
        <f>IF(tblbuyers[[#This Row],[Income]]&lt;30000,"Low",IF(tblbuyers[[#This Row],[Income]]&lt;=70000,"Medium","High"))</f>
        <v>Medium</v>
      </c>
      <c r="R759" s="7" t="str">
        <f>IF(OR(LOWER(TRIM(tblbuyers[[#This Row],[Purchased Bike]]))="yes",LOWER(TRIM(tblbuyers[[#This Row],[Purchased Bike]]))="y"),"Yes","No")</f>
        <v>Yes</v>
      </c>
    </row>
    <row r="760" spans="1:18"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c r="O760">
        <f>COUNTBLANK(tblbuyers[Income])</f>
        <v>0</v>
      </c>
      <c r="P760" t="str">
        <f>IF(tblbuyers[[#This Row],[Age]]&lt;30,"&lt;30",IF(tblbuyers[[#This Row],[Age]]&lt;=45,"30-45",IF(tblbuyers[[#This Row],[Age]]&lt;=60,"46-60","60+")))</f>
        <v>46-60</v>
      </c>
      <c r="Q760" t="str">
        <f>IF(tblbuyers[[#This Row],[Income]]&lt;30000,"Low",IF(tblbuyers[[#This Row],[Income]]&lt;=70000,"Medium","High"))</f>
        <v>High</v>
      </c>
      <c r="R760" s="7" t="str">
        <f>IF(OR(LOWER(TRIM(tblbuyers[[#This Row],[Purchased Bike]]))="yes",LOWER(TRIM(tblbuyers[[#This Row],[Purchased Bike]]))="y"),"Yes","No")</f>
        <v>No</v>
      </c>
    </row>
    <row r="761" spans="1:18"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c r="O761">
        <f>COUNTBLANK(tblbuyers[Income])</f>
        <v>0</v>
      </c>
      <c r="P761" t="str">
        <f>IF(tblbuyers[[#This Row],[Age]]&lt;30,"&lt;30",IF(tblbuyers[[#This Row],[Age]]&lt;=45,"30-45",IF(tblbuyers[[#This Row],[Age]]&lt;=60,"46-60","60+")))</f>
        <v>30-45</v>
      </c>
      <c r="Q761" t="str">
        <f>IF(tblbuyers[[#This Row],[Income]]&lt;30000,"Low",IF(tblbuyers[[#This Row],[Income]]&lt;=70000,"Medium","High"))</f>
        <v>Medium</v>
      </c>
      <c r="R761" s="7" t="str">
        <f>IF(OR(LOWER(TRIM(tblbuyers[[#This Row],[Purchased Bike]]))="yes",LOWER(TRIM(tblbuyers[[#This Row],[Purchased Bike]]))="y"),"Yes","No")</f>
        <v>Yes</v>
      </c>
    </row>
    <row r="762" spans="1:18"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c r="O762">
        <f>COUNTBLANK(tblbuyers[Income])</f>
        <v>0</v>
      </c>
      <c r="P762" t="str">
        <f>IF(tblbuyers[[#This Row],[Age]]&lt;30,"&lt;30",IF(tblbuyers[[#This Row],[Age]]&lt;=45,"30-45",IF(tblbuyers[[#This Row],[Age]]&lt;=60,"46-60","60+")))</f>
        <v>46-60</v>
      </c>
      <c r="Q762" t="str">
        <f>IF(tblbuyers[[#This Row],[Income]]&lt;30000,"Low",IF(tblbuyers[[#This Row],[Income]]&lt;=70000,"Medium","High"))</f>
        <v>Low</v>
      </c>
      <c r="R762" s="7" t="str">
        <f>IF(OR(LOWER(TRIM(tblbuyers[[#This Row],[Purchased Bike]]))="yes",LOWER(TRIM(tblbuyers[[#This Row],[Purchased Bike]]))="y"),"Yes","No")</f>
        <v>No</v>
      </c>
    </row>
    <row r="763" spans="1:18"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c r="O763">
        <f>COUNTBLANK(tblbuyers[Income])</f>
        <v>0</v>
      </c>
      <c r="P763" t="str">
        <f>IF(tblbuyers[[#This Row],[Age]]&lt;30,"&lt;30",IF(tblbuyers[[#This Row],[Age]]&lt;=45,"30-45",IF(tblbuyers[[#This Row],[Age]]&lt;=60,"46-60","60+")))</f>
        <v>46-60</v>
      </c>
      <c r="Q763" t="str">
        <f>IF(tblbuyers[[#This Row],[Income]]&lt;30000,"Low",IF(tblbuyers[[#This Row],[Income]]&lt;=70000,"Medium","High"))</f>
        <v>Medium</v>
      </c>
      <c r="R763" s="7" t="str">
        <f>IF(OR(LOWER(TRIM(tblbuyers[[#This Row],[Purchased Bike]]))="yes",LOWER(TRIM(tblbuyers[[#This Row],[Purchased Bike]]))="y"),"Yes","No")</f>
        <v>No</v>
      </c>
    </row>
    <row r="764" spans="1:18"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c r="O764">
        <f>COUNTBLANK(tblbuyers[Income])</f>
        <v>0</v>
      </c>
      <c r="P764" t="str">
        <f>IF(tblbuyers[[#This Row],[Age]]&lt;30,"&lt;30",IF(tblbuyers[[#This Row],[Age]]&lt;=45,"30-45",IF(tblbuyers[[#This Row],[Age]]&lt;=60,"46-60","60+")))</f>
        <v>30-45</v>
      </c>
      <c r="Q764" t="str">
        <f>IF(tblbuyers[[#This Row],[Income]]&lt;30000,"Low",IF(tblbuyers[[#This Row],[Income]]&lt;=70000,"Medium","High"))</f>
        <v>Medium</v>
      </c>
      <c r="R764" s="7" t="str">
        <f>IF(OR(LOWER(TRIM(tblbuyers[[#This Row],[Purchased Bike]]))="yes",LOWER(TRIM(tblbuyers[[#This Row],[Purchased Bike]]))="y"),"Yes","No")</f>
        <v>Yes</v>
      </c>
    </row>
    <row r="765" spans="1:18"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c r="O765">
        <f>COUNTBLANK(tblbuyers[Income])</f>
        <v>0</v>
      </c>
      <c r="P765" t="str">
        <f>IF(tblbuyers[[#This Row],[Age]]&lt;30,"&lt;30",IF(tblbuyers[[#This Row],[Age]]&lt;=45,"30-45",IF(tblbuyers[[#This Row],[Age]]&lt;=60,"46-60","60+")))</f>
        <v>30-45</v>
      </c>
      <c r="Q765" t="str">
        <f>IF(tblbuyers[[#This Row],[Income]]&lt;30000,"Low",IF(tblbuyers[[#This Row],[Income]]&lt;=70000,"Medium","High"))</f>
        <v>Medium</v>
      </c>
      <c r="R765" s="7" t="str">
        <f>IF(OR(LOWER(TRIM(tblbuyers[[#This Row],[Purchased Bike]]))="yes",LOWER(TRIM(tblbuyers[[#This Row],[Purchased Bike]]))="y"),"Yes","No")</f>
        <v>Yes</v>
      </c>
    </row>
    <row r="766" spans="1:18"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c r="O766">
        <f>COUNTBLANK(tblbuyers[Income])</f>
        <v>0</v>
      </c>
      <c r="P766" t="str">
        <f>IF(tblbuyers[[#This Row],[Age]]&lt;30,"&lt;30",IF(tblbuyers[[#This Row],[Age]]&lt;=45,"30-45",IF(tblbuyers[[#This Row],[Age]]&lt;=60,"46-60","60+")))</f>
        <v>&lt;30</v>
      </c>
      <c r="Q766" t="str">
        <f>IF(tblbuyers[[#This Row],[Income]]&lt;30000,"Low",IF(tblbuyers[[#This Row],[Income]]&lt;=70000,"Medium","High"))</f>
        <v>Medium</v>
      </c>
      <c r="R766" s="7" t="str">
        <f>IF(OR(LOWER(TRIM(tblbuyers[[#This Row],[Purchased Bike]]))="yes",LOWER(TRIM(tblbuyers[[#This Row],[Purchased Bike]]))="y"),"Yes","No")</f>
        <v>No</v>
      </c>
    </row>
    <row r="767" spans="1:18"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c r="O767">
        <f>COUNTBLANK(tblbuyers[Income])</f>
        <v>0</v>
      </c>
      <c r="P767" t="str">
        <f>IF(tblbuyers[[#This Row],[Age]]&lt;30,"&lt;30",IF(tblbuyers[[#This Row],[Age]]&lt;=45,"30-45",IF(tblbuyers[[#This Row],[Age]]&lt;=60,"46-60","60+")))</f>
        <v>30-45</v>
      </c>
      <c r="Q767" t="str">
        <f>IF(tblbuyers[[#This Row],[Income]]&lt;30000,"Low",IF(tblbuyers[[#This Row],[Income]]&lt;=70000,"Medium","High"))</f>
        <v>Medium</v>
      </c>
      <c r="R767" s="7" t="str">
        <f>IF(OR(LOWER(TRIM(tblbuyers[[#This Row],[Purchased Bike]]))="yes",LOWER(TRIM(tblbuyers[[#This Row],[Purchased Bike]]))="y"),"Yes","No")</f>
        <v>Yes</v>
      </c>
    </row>
    <row r="768" spans="1:18" x14ac:dyDescent="0.25">
      <c r="A768">
        <v>14608</v>
      </c>
      <c r="B768" t="s">
        <v>36</v>
      </c>
      <c r="C768" t="s">
        <v>39</v>
      </c>
      <c r="D768" s="3">
        <v>50000</v>
      </c>
      <c r="E768">
        <v>4</v>
      </c>
      <c r="F768" t="s">
        <v>13</v>
      </c>
      <c r="G768" t="s">
        <v>14</v>
      </c>
      <c r="H768" t="s">
        <v>15</v>
      </c>
      <c r="I768">
        <v>3</v>
      </c>
      <c r="J768" t="s">
        <v>30</v>
      </c>
      <c r="K768" t="s">
        <v>32</v>
      </c>
      <c r="L768">
        <v>42</v>
      </c>
      <c r="M768" t="str">
        <f t="shared" si="11"/>
        <v>Middle Age</v>
      </c>
      <c r="N768" t="s">
        <v>18</v>
      </c>
      <c r="O768">
        <f>COUNTBLANK(tblbuyers[Income])</f>
        <v>0</v>
      </c>
      <c r="P768" t="str">
        <f>IF(tblbuyers[[#This Row],[Age]]&lt;30,"&lt;30",IF(tblbuyers[[#This Row],[Age]]&lt;=45,"30-45",IF(tblbuyers[[#This Row],[Age]]&lt;=60,"46-60","60+")))</f>
        <v>30-45</v>
      </c>
      <c r="Q768" t="str">
        <f>IF(tblbuyers[[#This Row],[Income]]&lt;30000,"Low",IF(tblbuyers[[#This Row],[Income]]&lt;=70000,"Medium","High"))</f>
        <v>Medium</v>
      </c>
      <c r="R768" s="7" t="str">
        <f>IF(OR(LOWER(TRIM(tblbuyers[[#This Row],[Purchased Bike]]))="yes",LOWER(TRIM(tblbuyers[[#This Row],[Purchased Bike]]))="y"),"Yes","No")</f>
        <v>No</v>
      </c>
    </row>
    <row r="769" spans="1:18"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c r="O769">
        <f>COUNTBLANK(tblbuyers[Income])</f>
        <v>0</v>
      </c>
      <c r="P769" t="str">
        <f>IF(tblbuyers[[#This Row],[Age]]&lt;30,"&lt;30",IF(tblbuyers[[#This Row],[Age]]&lt;=45,"30-45",IF(tblbuyers[[#This Row],[Age]]&lt;=60,"46-60","60+")))</f>
        <v>46-60</v>
      </c>
      <c r="Q769" t="str">
        <f>IF(tblbuyers[[#This Row],[Income]]&lt;30000,"Low",IF(tblbuyers[[#This Row],[Income]]&lt;=70000,"Medium","High"))</f>
        <v>Medium</v>
      </c>
      <c r="R769" s="7" t="str">
        <f>IF(OR(LOWER(TRIM(tblbuyers[[#This Row],[Purchased Bike]]))="yes",LOWER(TRIM(tblbuyers[[#This Row],[Purchased Bike]]))="y"),"Yes","No")</f>
        <v>Yes</v>
      </c>
    </row>
    <row r="770" spans="1:18"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c r="O770">
        <f>COUNTBLANK(tblbuyers[Income])</f>
        <v>0</v>
      </c>
      <c r="P770" t="str">
        <f>IF(tblbuyers[[#This Row],[Age]]&lt;30,"&lt;30",IF(tblbuyers[[#This Row],[Age]]&lt;=45,"30-45",IF(tblbuyers[[#This Row],[Age]]&lt;=60,"46-60","60+")))</f>
        <v>30-45</v>
      </c>
      <c r="Q770" t="str">
        <f>IF(tblbuyers[[#This Row],[Income]]&lt;30000,"Low",IF(tblbuyers[[#This Row],[Income]]&lt;=70000,"Medium","High"))</f>
        <v>High</v>
      </c>
      <c r="R770" s="7" t="str">
        <f>IF(OR(LOWER(TRIM(tblbuyers[[#This Row],[Purchased Bike]]))="yes",LOWER(TRIM(tblbuyers[[#This Row],[Purchased Bike]]))="y"),"Yes","No")</f>
        <v>No</v>
      </c>
    </row>
    <row r="771" spans="1:18"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c r="O771">
        <f>COUNTBLANK(tblbuyers[Income])</f>
        <v>0</v>
      </c>
      <c r="P771" t="str">
        <f>IF(tblbuyers[[#This Row],[Age]]&lt;30,"&lt;30",IF(tblbuyers[[#This Row],[Age]]&lt;=45,"30-45",IF(tblbuyers[[#This Row],[Age]]&lt;=60,"46-60","60+")))</f>
        <v>30-45</v>
      </c>
      <c r="Q771" t="str">
        <f>IF(tblbuyers[[#This Row],[Income]]&lt;30000,"Low",IF(tblbuyers[[#This Row],[Income]]&lt;=70000,"Medium","High"))</f>
        <v>High</v>
      </c>
      <c r="R771" s="7" t="str">
        <f>IF(OR(LOWER(TRIM(tblbuyers[[#This Row],[Purchased Bike]]))="yes",LOWER(TRIM(tblbuyers[[#This Row],[Purchased Bike]]))="y"),"Yes","No")</f>
        <v>No</v>
      </c>
    </row>
    <row r="772" spans="1:18"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c r="O772">
        <f>COUNTBLANK(tblbuyers[Income])</f>
        <v>0</v>
      </c>
      <c r="P772" t="str">
        <f>IF(tblbuyers[[#This Row],[Age]]&lt;30,"&lt;30",IF(tblbuyers[[#This Row],[Age]]&lt;=45,"30-45",IF(tblbuyers[[#This Row],[Age]]&lt;=60,"46-60","60+")))</f>
        <v>46-60</v>
      </c>
      <c r="Q772" t="str">
        <f>IF(tblbuyers[[#This Row],[Income]]&lt;30000,"Low",IF(tblbuyers[[#This Row],[Income]]&lt;=70000,"Medium","High"))</f>
        <v>Medium</v>
      </c>
      <c r="R772" s="7" t="str">
        <f>IF(OR(LOWER(TRIM(tblbuyers[[#This Row],[Purchased Bike]]))="yes",LOWER(TRIM(tblbuyers[[#This Row],[Purchased Bike]]))="y"),"Yes","No")</f>
        <v>No</v>
      </c>
    </row>
    <row r="773" spans="1:18"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c r="O773">
        <f>COUNTBLANK(tblbuyers[Income])</f>
        <v>0</v>
      </c>
      <c r="P773" t="str">
        <f>IF(tblbuyers[[#This Row],[Age]]&lt;30,"&lt;30",IF(tblbuyers[[#This Row],[Age]]&lt;=45,"30-45",IF(tblbuyers[[#This Row],[Age]]&lt;=60,"46-60","60+")))</f>
        <v>46-60</v>
      </c>
      <c r="Q773" t="str">
        <f>IF(tblbuyers[[#This Row],[Income]]&lt;30000,"Low",IF(tblbuyers[[#This Row],[Income]]&lt;=70000,"Medium","High"))</f>
        <v>High</v>
      </c>
      <c r="R773" s="7" t="str">
        <f>IF(OR(LOWER(TRIM(tblbuyers[[#This Row],[Purchased Bike]]))="yes",LOWER(TRIM(tblbuyers[[#This Row],[Purchased Bike]]))="y"),"Yes","No")</f>
        <v>Yes</v>
      </c>
    </row>
    <row r="774" spans="1:18"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c r="O774">
        <f>COUNTBLANK(tblbuyers[Income])</f>
        <v>0</v>
      </c>
      <c r="P774" t="str">
        <f>IF(tblbuyers[[#This Row],[Age]]&lt;30,"&lt;30",IF(tblbuyers[[#This Row],[Age]]&lt;=45,"30-45",IF(tblbuyers[[#This Row],[Age]]&lt;=60,"46-60","60+")))</f>
        <v>46-60</v>
      </c>
      <c r="Q774" t="str">
        <f>IF(tblbuyers[[#This Row],[Income]]&lt;30000,"Low",IF(tblbuyers[[#This Row],[Income]]&lt;=70000,"Medium","High"))</f>
        <v>Medium</v>
      </c>
      <c r="R774" s="7" t="str">
        <f>IF(OR(LOWER(TRIM(tblbuyers[[#This Row],[Purchased Bike]]))="yes",LOWER(TRIM(tblbuyers[[#This Row],[Purchased Bike]]))="y"),"Yes","No")</f>
        <v>Yes</v>
      </c>
    </row>
    <row r="775" spans="1:18"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c r="O775">
        <f>COUNTBLANK(tblbuyers[Income])</f>
        <v>0</v>
      </c>
      <c r="P775" t="str">
        <f>IF(tblbuyers[[#This Row],[Age]]&lt;30,"&lt;30",IF(tblbuyers[[#This Row],[Age]]&lt;=45,"30-45",IF(tblbuyers[[#This Row],[Age]]&lt;=60,"46-60","60+")))</f>
        <v>30-45</v>
      </c>
      <c r="Q775" t="str">
        <f>IF(tblbuyers[[#This Row],[Income]]&lt;30000,"Low",IF(tblbuyers[[#This Row],[Income]]&lt;=70000,"Medium","High"))</f>
        <v>Medium</v>
      </c>
      <c r="R775" s="7" t="str">
        <f>IF(OR(LOWER(TRIM(tblbuyers[[#This Row],[Purchased Bike]]))="yes",LOWER(TRIM(tblbuyers[[#This Row],[Purchased Bike]]))="y"),"Yes","No")</f>
        <v>No</v>
      </c>
    </row>
    <row r="776" spans="1:18"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c r="O776">
        <f>COUNTBLANK(tblbuyers[Income])</f>
        <v>0</v>
      </c>
      <c r="P776" t="str">
        <f>IF(tblbuyers[[#This Row],[Age]]&lt;30,"&lt;30",IF(tblbuyers[[#This Row],[Age]]&lt;=45,"30-45",IF(tblbuyers[[#This Row],[Age]]&lt;=60,"46-60","60+")))</f>
        <v>30-45</v>
      </c>
      <c r="Q776" t="str">
        <f>IF(tblbuyers[[#This Row],[Income]]&lt;30000,"Low",IF(tblbuyers[[#This Row],[Income]]&lt;=70000,"Medium","High"))</f>
        <v>High</v>
      </c>
      <c r="R776" s="7" t="str">
        <f>IF(OR(LOWER(TRIM(tblbuyers[[#This Row],[Purchased Bike]]))="yes",LOWER(TRIM(tblbuyers[[#This Row],[Purchased Bike]]))="y"),"Yes","No")</f>
        <v>Yes</v>
      </c>
    </row>
    <row r="777" spans="1:18" x14ac:dyDescent="0.25">
      <c r="A777">
        <v>29030</v>
      </c>
      <c r="B777" t="s">
        <v>36</v>
      </c>
      <c r="C777" t="s">
        <v>39</v>
      </c>
      <c r="D777" s="3">
        <v>70000</v>
      </c>
      <c r="E777">
        <v>2</v>
      </c>
      <c r="F777" t="s">
        <v>29</v>
      </c>
      <c r="G777" t="s">
        <v>14</v>
      </c>
      <c r="H777" t="s">
        <v>15</v>
      </c>
      <c r="I777">
        <v>2</v>
      </c>
      <c r="J777" t="s">
        <v>30</v>
      </c>
      <c r="K777" t="s">
        <v>32</v>
      </c>
      <c r="L777">
        <v>54</v>
      </c>
      <c r="M777" t="str">
        <f t="shared" si="12"/>
        <v>Middle Age</v>
      </c>
      <c r="N777" t="s">
        <v>18</v>
      </c>
      <c r="O777">
        <f>COUNTBLANK(tblbuyers[Income])</f>
        <v>0</v>
      </c>
      <c r="P777" t="str">
        <f>IF(tblbuyers[[#This Row],[Age]]&lt;30,"&lt;30",IF(tblbuyers[[#This Row],[Age]]&lt;=45,"30-45",IF(tblbuyers[[#This Row],[Age]]&lt;=60,"46-60","60+")))</f>
        <v>46-60</v>
      </c>
      <c r="Q777" t="str">
        <f>IF(tblbuyers[[#This Row],[Income]]&lt;30000,"Low",IF(tblbuyers[[#This Row],[Income]]&lt;=70000,"Medium","High"))</f>
        <v>Medium</v>
      </c>
      <c r="R777" s="7" t="str">
        <f>IF(OR(LOWER(TRIM(tblbuyers[[#This Row],[Purchased Bike]]))="yes",LOWER(TRIM(tblbuyers[[#This Row],[Purchased Bike]]))="y"),"Yes","No")</f>
        <v>No</v>
      </c>
    </row>
    <row r="778" spans="1:18"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c r="O778">
        <f>COUNTBLANK(tblbuyers[Income])</f>
        <v>0</v>
      </c>
      <c r="P778" t="str">
        <f>IF(tblbuyers[[#This Row],[Age]]&lt;30,"&lt;30",IF(tblbuyers[[#This Row],[Age]]&lt;=45,"30-45",IF(tblbuyers[[#This Row],[Age]]&lt;=60,"46-60","60+")))</f>
        <v>46-60</v>
      </c>
      <c r="Q778" t="str">
        <f>IF(tblbuyers[[#This Row],[Income]]&lt;30000,"Low",IF(tblbuyers[[#This Row],[Income]]&lt;=70000,"Medium","High"))</f>
        <v>Medium</v>
      </c>
      <c r="R778" s="7" t="str">
        <f>IF(OR(LOWER(TRIM(tblbuyers[[#This Row],[Purchased Bike]]))="yes",LOWER(TRIM(tblbuyers[[#This Row],[Purchased Bike]]))="y"),"Yes","No")</f>
        <v>Yes</v>
      </c>
    </row>
    <row r="779" spans="1:18"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c r="O779">
        <f>COUNTBLANK(tblbuyers[Income])</f>
        <v>0</v>
      </c>
      <c r="P779" t="str">
        <f>IF(tblbuyers[[#This Row],[Age]]&lt;30,"&lt;30",IF(tblbuyers[[#This Row],[Age]]&lt;=45,"30-45",IF(tblbuyers[[#This Row],[Age]]&lt;=60,"46-60","60+")))</f>
        <v>&lt;30</v>
      </c>
      <c r="Q779" t="str">
        <f>IF(tblbuyers[[#This Row],[Income]]&lt;30000,"Low",IF(tblbuyers[[#This Row],[Income]]&lt;=70000,"Medium","High"))</f>
        <v>Medium</v>
      </c>
      <c r="R779" s="7" t="str">
        <f>IF(OR(LOWER(TRIM(tblbuyers[[#This Row],[Purchased Bike]]))="yes",LOWER(TRIM(tblbuyers[[#This Row],[Purchased Bike]]))="y"),"Yes","No")</f>
        <v>No</v>
      </c>
    </row>
    <row r="780" spans="1:18"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c r="O780">
        <f>COUNTBLANK(tblbuyers[Income])</f>
        <v>0</v>
      </c>
      <c r="P780" t="str">
        <f>IF(tblbuyers[[#This Row],[Age]]&lt;30,"&lt;30",IF(tblbuyers[[#This Row],[Age]]&lt;=45,"30-45",IF(tblbuyers[[#This Row],[Age]]&lt;=60,"46-60","60+")))</f>
        <v>30-45</v>
      </c>
      <c r="Q780" t="str">
        <f>IF(tblbuyers[[#This Row],[Income]]&lt;30000,"Low",IF(tblbuyers[[#This Row],[Income]]&lt;=70000,"Medium","High"))</f>
        <v>High</v>
      </c>
      <c r="R780" s="7" t="str">
        <f>IF(OR(LOWER(TRIM(tblbuyers[[#This Row],[Purchased Bike]]))="yes",LOWER(TRIM(tblbuyers[[#This Row],[Purchased Bike]]))="y"),"Yes","No")</f>
        <v>No</v>
      </c>
    </row>
    <row r="781" spans="1:18"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c r="O781">
        <f>COUNTBLANK(tblbuyers[Income])</f>
        <v>0</v>
      </c>
      <c r="P781" t="str">
        <f>IF(tblbuyers[[#This Row],[Age]]&lt;30,"&lt;30",IF(tblbuyers[[#This Row],[Age]]&lt;=45,"30-45",IF(tblbuyers[[#This Row],[Age]]&lt;=60,"46-60","60+")))</f>
        <v>46-60</v>
      </c>
      <c r="Q781" t="str">
        <f>IF(tblbuyers[[#This Row],[Income]]&lt;30000,"Low",IF(tblbuyers[[#This Row],[Income]]&lt;=70000,"Medium","High"))</f>
        <v>High</v>
      </c>
      <c r="R781" s="7" t="str">
        <f>IF(OR(LOWER(TRIM(tblbuyers[[#This Row],[Purchased Bike]]))="yes",LOWER(TRIM(tblbuyers[[#This Row],[Purchased Bike]]))="y"),"Yes","No")</f>
        <v>Yes</v>
      </c>
    </row>
    <row r="782" spans="1:18"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c r="O782">
        <f>COUNTBLANK(tblbuyers[Income])</f>
        <v>0</v>
      </c>
      <c r="P782" t="str">
        <f>IF(tblbuyers[[#This Row],[Age]]&lt;30,"&lt;30",IF(tblbuyers[[#This Row],[Age]]&lt;=45,"30-45",IF(tblbuyers[[#This Row],[Age]]&lt;=60,"46-60","60+")))</f>
        <v>46-60</v>
      </c>
      <c r="Q782" t="str">
        <f>IF(tblbuyers[[#This Row],[Income]]&lt;30000,"Low",IF(tblbuyers[[#This Row],[Income]]&lt;=70000,"Medium","High"))</f>
        <v>Medium</v>
      </c>
      <c r="R782" s="7" t="str">
        <f>IF(OR(LOWER(TRIM(tblbuyers[[#This Row],[Purchased Bike]]))="yes",LOWER(TRIM(tblbuyers[[#This Row],[Purchased Bike]]))="y"),"Yes","No")</f>
        <v>No</v>
      </c>
    </row>
    <row r="783" spans="1:18"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c r="O783">
        <f>COUNTBLANK(tblbuyers[Income])</f>
        <v>0</v>
      </c>
      <c r="P783" t="str">
        <f>IF(tblbuyers[[#This Row],[Age]]&lt;30,"&lt;30",IF(tblbuyers[[#This Row],[Age]]&lt;=45,"30-45",IF(tblbuyers[[#This Row],[Age]]&lt;=60,"46-60","60+")))</f>
        <v>30-45</v>
      </c>
      <c r="Q783" t="str">
        <f>IF(tblbuyers[[#This Row],[Income]]&lt;30000,"Low",IF(tblbuyers[[#This Row],[Income]]&lt;=70000,"Medium","High"))</f>
        <v>High</v>
      </c>
      <c r="R783" s="7" t="str">
        <f>IF(OR(LOWER(TRIM(tblbuyers[[#This Row],[Purchased Bike]]))="yes",LOWER(TRIM(tblbuyers[[#This Row],[Purchased Bike]]))="y"),"Yes","No")</f>
        <v>No</v>
      </c>
    </row>
    <row r="784" spans="1:18"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c r="O784">
        <f>COUNTBLANK(tblbuyers[Income])</f>
        <v>0</v>
      </c>
      <c r="P784" t="str">
        <f>IF(tblbuyers[[#This Row],[Age]]&lt;30,"&lt;30",IF(tblbuyers[[#This Row],[Age]]&lt;=45,"30-45",IF(tblbuyers[[#This Row],[Age]]&lt;=60,"46-60","60+")))</f>
        <v>30-45</v>
      </c>
      <c r="Q784" t="str">
        <f>IF(tblbuyers[[#This Row],[Income]]&lt;30000,"Low",IF(tblbuyers[[#This Row],[Income]]&lt;=70000,"Medium","High"))</f>
        <v>Medium</v>
      </c>
      <c r="R784" s="7" t="str">
        <f>IF(OR(LOWER(TRIM(tblbuyers[[#This Row],[Purchased Bike]]))="yes",LOWER(TRIM(tblbuyers[[#This Row],[Purchased Bike]]))="y"),"Yes","No")</f>
        <v>Yes</v>
      </c>
    </row>
    <row r="785" spans="1:18"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c r="O785">
        <f>COUNTBLANK(tblbuyers[Income])</f>
        <v>0</v>
      </c>
      <c r="P785" t="str">
        <f>IF(tblbuyers[[#This Row],[Age]]&lt;30,"&lt;30",IF(tblbuyers[[#This Row],[Age]]&lt;=45,"30-45",IF(tblbuyers[[#This Row],[Age]]&lt;=60,"46-60","60+")))</f>
        <v>30-45</v>
      </c>
      <c r="Q785" t="str">
        <f>IF(tblbuyers[[#This Row],[Income]]&lt;30000,"Low",IF(tblbuyers[[#This Row],[Income]]&lt;=70000,"Medium","High"))</f>
        <v>Medium</v>
      </c>
      <c r="R785" s="7" t="str">
        <f>IF(OR(LOWER(TRIM(tblbuyers[[#This Row],[Purchased Bike]]))="yes",LOWER(TRIM(tblbuyers[[#This Row],[Purchased Bike]]))="y"),"Yes","No")</f>
        <v>No</v>
      </c>
    </row>
    <row r="786" spans="1:18"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c r="O786">
        <f>COUNTBLANK(tblbuyers[Income])</f>
        <v>0</v>
      </c>
      <c r="P786" t="str">
        <f>IF(tblbuyers[[#This Row],[Age]]&lt;30,"&lt;30",IF(tblbuyers[[#This Row],[Age]]&lt;=45,"30-45",IF(tblbuyers[[#This Row],[Age]]&lt;=60,"46-60","60+")))</f>
        <v>46-60</v>
      </c>
      <c r="Q786" t="str">
        <f>IF(tblbuyers[[#This Row],[Income]]&lt;30000,"Low",IF(tblbuyers[[#This Row],[Income]]&lt;=70000,"Medium","High"))</f>
        <v>Low</v>
      </c>
      <c r="R786" s="7" t="str">
        <f>IF(OR(LOWER(TRIM(tblbuyers[[#This Row],[Purchased Bike]]))="yes",LOWER(TRIM(tblbuyers[[#This Row],[Purchased Bike]]))="y"),"Yes","No")</f>
        <v>Yes</v>
      </c>
    </row>
    <row r="787" spans="1:18"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c r="O787">
        <f>COUNTBLANK(tblbuyers[Income])</f>
        <v>0</v>
      </c>
      <c r="P787" t="str">
        <f>IF(tblbuyers[[#This Row],[Age]]&lt;30,"&lt;30",IF(tblbuyers[[#This Row],[Age]]&lt;=45,"30-45",IF(tblbuyers[[#This Row],[Age]]&lt;=60,"46-60","60+")))</f>
        <v>&lt;30</v>
      </c>
      <c r="Q787" t="str">
        <f>IF(tblbuyers[[#This Row],[Income]]&lt;30000,"Low",IF(tblbuyers[[#This Row],[Income]]&lt;=70000,"Medium","High"))</f>
        <v>Medium</v>
      </c>
      <c r="R787" s="7" t="str">
        <f>IF(OR(LOWER(TRIM(tblbuyers[[#This Row],[Purchased Bike]]))="yes",LOWER(TRIM(tblbuyers[[#This Row],[Purchased Bike]]))="y"),"Yes","No")</f>
        <v>Yes</v>
      </c>
    </row>
    <row r="788" spans="1:18"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c r="O788">
        <f>COUNTBLANK(tblbuyers[Income])</f>
        <v>0</v>
      </c>
      <c r="P788" t="str">
        <f>IF(tblbuyers[[#This Row],[Age]]&lt;30,"&lt;30",IF(tblbuyers[[#This Row],[Age]]&lt;=45,"30-45",IF(tblbuyers[[#This Row],[Age]]&lt;=60,"46-60","60+")))</f>
        <v>30-45</v>
      </c>
      <c r="Q788" t="str">
        <f>IF(tblbuyers[[#This Row],[Income]]&lt;30000,"Low",IF(tblbuyers[[#This Row],[Income]]&lt;=70000,"Medium","High"))</f>
        <v>Medium</v>
      </c>
      <c r="R788" s="7" t="str">
        <f>IF(OR(LOWER(TRIM(tblbuyers[[#This Row],[Purchased Bike]]))="yes",LOWER(TRIM(tblbuyers[[#This Row],[Purchased Bike]]))="y"),"Yes","No")</f>
        <v>No</v>
      </c>
    </row>
    <row r="789" spans="1:18"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c r="O789">
        <f>COUNTBLANK(tblbuyers[Income])</f>
        <v>0</v>
      </c>
      <c r="P789" t="str">
        <f>IF(tblbuyers[[#This Row],[Age]]&lt;30,"&lt;30",IF(tblbuyers[[#This Row],[Age]]&lt;=45,"30-45",IF(tblbuyers[[#This Row],[Age]]&lt;=60,"46-60","60+")))</f>
        <v>46-60</v>
      </c>
      <c r="Q789" t="str">
        <f>IF(tblbuyers[[#This Row],[Income]]&lt;30000,"Low",IF(tblbuyers[[#This Row],[Income]]&lt;=70000,"Medium","High"))</f>
        <v>Medium</v>
      </c>
      <c r="R789" s="7" t="str">
        <f>IF(OR(LOWER(TRIM(tblbuyers[[#This Row],[Purchased Bike]]))="yes",LOWER(TRIM(tblbuyers[[#This Row],[Purchased Bike]]))="y"),"Yes","No")</f>
        <v>Yes</v>
      </c>
    </row>
    <row r="790" spans="1:18"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c r="O790">
        <f>COUNTBLANK(tblbuyers[Income])</f>
        <v>0</v>
      </c>
      <c r="P790" t="str">
        <f>IF(tblbuyers[[#This Row],[Age]]&lt;30,"&lt;30",IF(tblbuyers[[#This Row],[Age]]&lt;=45,"30-45",IF(tblbuyers[[#This Row],[Age]]&lt;=60,"46-60","60+")))</f>
        <v>46-60</v>
      </c>
      <c r="Q790" t="str">
        <f>IF(tblbuyers[[#This Row],[Income]]&lt;30000,"Low",IF(tblbuyers[[#This Row],[Income]]&lt;=70000,"Medium","High"))</f>
        <v>Low</v>
      </c>
      <c r="R790" s="7" t="str">
        <f>IF(OR(LOWER(TRIM(tblbuyers[[#This Row],[Purchased Bike]]))="yes",LOWER(TRIM(tblbuyers[[#This Row],[Purchased Bike]]))="y"),"Yes","No")</f>
        <v>No</v>
      </c>
    </row>
    <row r="791" spans="1:18"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c r="O791">
        <f>COUNTBLANK(tblbuyers[Income])</f>
        <v>0</v>
      </c>
      <c r="P791" t="str">
        <f>IF(tblbuyers[[#This Row],[Age]]&lt;30,"&lt;30",IF(tblbuyers[[#This Row],[Age]]&lt;=45,"30-45",IF(tblbuyers[[#This Row],[Age]]&lt;=60,"46-60","60+")))</f>
        <v>46-60</v>
      </c>
      <c r="Q791" t="str">
        <f>IF(tblbuyers[[#This Row],[Income]]&lt;30000,"Low",IF(tblbuyers[[#This Row],[Income]]&lt;=70000,"Medium","High"))</f>
        <v>Medium</v>
      </c>
      <c r="R791" s="7" t="str">
        <f>IF(OR(LOWER(TRIM(tblbuyers[[#This Row],[Purchased Bike]]))="yes",LOWER(TRIM(tblbuyers[[#This Row],[Purchased Bike]]))="y"),"Yes","No")</f>
        <v>Yes</v>
      </c>
    </row>
    <row r="792" spans="1:18"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c r="O792">
        <f>COUNTBLANK(tblbuyers[Income])</f>
        <v>0</v>
      </c>
      <c r="P792" t="str">
        <f>IF(tblbuyers[[#This Row],[Age]]&lt;30,"&lt;30",IF(tblbuyers[[#This Row],[Age]]&lt;=45,"30-45",IF(tblbuyers[[#This Row],[Age]]&lt;=60,"46-60","60+")))</f>
        <v>46-60</v>
      </c>
      <c r="Q792" t="str">
        <f>IF(tblbuyers[[#This Row],[Income]]&lt;30000,"Low",IF(tblbuyers[[#This Row],[Income]]&lt;=70000,"Medium","High"))</f>
        <v>High</v>
      </c>
      <c r="R792" s="7" t="str">
        <f>IF(OR(LOWER(TRIM(tblbuyers[[#This Row],[Purchased Bike]]))="yes",LOWER(TRIM(tblbuyers[[#This Row],[Purchased Bike]]))="y"),"Yes","No")</f>
        <v>No</v>
      </c>
    </row>
    <row r="793" spans="1:18"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c r="O793">
        <f>COUNTBLANK(tblbuyers[Income])</f>
        <v>0</v>
      </c>
      <c r="P793" t="str">
        <f>IF(tblbuyers[[#This Row],[Age]]&lt;30,"&lt;30",IF(tblbuyers[[#This Row],[Age]]&lt;=45,"30-45",IF(tblbuyers[[#This Row],[Age]]&lt;=60,"46-60","60+")))</f>
        <v>&lt;30</v>
      </c>
      <c r="Q793" t="str">
        <f>IF(tblbuyers[[#This Row],[Income]]&lt;30000,"Low",IF(tblbuyers[[#This Row],[Income]]&lt;=70000,"Medium","High"))</f>
        <v>Medium</v>
      </c>
      <c r="R793" s="7" t="str">
        <f>IF(OR(LOWER(TRIM(tblbuyers[[#This Row],[Purchased Bike]]))="yes",LOWER(TRIM(tblbuyers[[#This Row],[Purchased Bike]]))="y"),"Yes","No")</f>
        <v>Yes</v>
      </c>
    </row>
    <row r="794" spans="1:18"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c r="O794">
        <f>COUNTBLANK(tblbuyers[Income])</f>
        <v>0</v>
      </c>
      <c r="P794" t="str">
        <f>IF(tblbuyers[[#This Row],[Age]]&lt;30,"&lt;30",IF(tblbuyers[[#This Row],[Age]]&lt;=45,"30-45",IF(tblbuyers[[#This Row],[Age]]&lt;=60,"46-60","60+")))</f>
        <v>46-60</v>
      </c>
      <c r="Q794" t="str">
        <f>IF(tblbuyers[[#This Row],[Income]]&lt;30000,"Low",IF(tblbuyers[[#This Row],[Income]]&lt;=70000,"Medium","High"))</f>
        <v>Medium</v>
      </c>
      <c r="R794" s="7" t="str">
        <f>IF(OR(LOWER(TRIM(tblbuyers[[#This Row],[Purchased Bike]]))="yes",LOWER(TRIM(tblbuyers[[#This Row],[Purchased Bike]]))="y"),"Yes","No")</f>
        <v>No</v>
      </c>
    </row>
    <row r="795" spans="1:18"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c r="O795">
        <f>COUNTBLANK(tblbuyers[Income])</f>
        <v>0</v>
      </c>
      <c r="P795" t="str">
        <f>IF(tblbuyers[[#This Row],[Age]]&lt;30,"&lt;30",IF(tblbuyers[[#This Row],[Age]]&lt;=45,"30-45",IF(tblbuyers[[#This Row],[Age]]&lt;=60,"46-60","60+")))</f>
        <v>46-60</v>
      </c>
      <c r="Q795" t="str">
        <f>IF(tblbuyers[[#This Row],[Income]]&lt;30000,"Low",IF(tblbuyers[[#This Row],[Income]]&lt;=70000,"Medium","High"))</f>
        <v>Medium</v>
      </c>
      <c r="R795" s="7" t="str">
        <f>IF(OR(LOWER(TRIM(tblbuyers[[#This Row],[Purchased Bike]]))="yes",LOWER(TRIM(tblbuyers[[#This Row],[Purchased Bike]]))="y"),"Yes","No")</f>
        <v>Yes</v>
      </c>
    </row>
    <row r="796" spans="1:18"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c r="O796">
        <f>COUNTBLANK(tblbuyers[Income])</f>
        <v>0</v>
      </c>
      <c r="P796" t="str">
        <f>IF(tblbuyers[[#This Row],[Age]]&lt;30,"&lt;30",IF(tblbuyers[[#This Row],[Age]]&lt;=45,"30-45",IF(tblbuyers[[#This Row],[Age]]&lt;=60,"46-60","60+")))</f>
        <v>60+</v>
      </c>
      <c r="Q796" t="str">
        <f>IF(tblbuyers[[#This Row],[Income]]&lt;30000,"Low",IF(tblbuyers[[#This Row],[Income]]&lt;=70000,"Medium","High"))</f>
        <v>Medium</v>
      </c>
      <c r="R796" s="7" t="str">
        <f>IF(OR(LOWER(TRIM(tblbuyers[[#This Row],[Purchased Bike]]))="yes",LOWER(TRIM(tblbuyers[[#This Row],[Purchased Bike]]))="y"),"Yes","No")</f>
        <v>No</v>
      </c>
    </row>
    <row r="797" spans="1:18"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c r="O797">
        <f>COUNTBLANK(tblbuyers[Income])</f>
        <v>0</v>
      </c>
      <c r="P797" t="str">
        <f>IF(tblbuyers[[#This Row],[Age]]&lt;30,"&lt;30",IF(tblbuyers[[#This Row],[Age]]&lt;=45,"30-45",IF(tblbuyers[[#This Row],[Age]]&lt;=60,"46-60","60+")))</f>
        <v>46-60</v>
      </c>
      <c r="Q797" t="str">
        <f>IF(tblbuyers[[#This Row],[Income]]&lt;30000,"Low",IF(tblbuyers[[#This Row],[Income]]&lt;=70000,"Medium","High"))</f>
        <v>Medium</v>
      </c>
      <c r="R797" s="7" t="str">
        <f>IF(OR(LOWER(TRIM(tblbuyers[[#This Row],[Purchased Bike]]))="yes",LOWER(TRIM(tblbuyers[[#This Row],[Purchased Bike]]))="y"),"Yes","No")</f>
        <v>No</v>
      </c>
    </row>
    <row r="798" spans="1:18"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c r="O798">
        <f>COUNTBLANK(tblbuyers[Income])</f>
        <v>0</v>
      </c>
      <c r="P798" t="str">
        <f>IF(tblbuyers[[#This Row],[Age]]&lt;30,"&lt;30",IF(tblbuyers[[#This Row],[Age]]&lt;=45,"30-45",IF(tblbuyers[[#This Row],[Age]]&lt;=60,"46-60","60+")))</f>
        <v>46-60</v>
      </c>
      <c r="Q798" t="str">
        <f>IF(tblbuyers[[#This Row],[Income]]&lt;30000,"Low",IF(tblbuyers[[#This Row],[Income]]&lt;=70000,"Medium","High"))</f>
        <v>Medium</v>
      </c>
      <c r="R798" s="7" t="str">
        <f>IF(OR(LOWER(TRIM(tblbuyers[[#This Row],[Purchased Bike]]))="yes",LOWER(TRIM(tblbuyers[[#This Row],[Purchased Bike]]))="y"),"Yes","No")</f>
        <v>Yes</v>
      </c>
    </row>
    <row r="799" spans="1:18"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c r="O799">
        <f>COUNTBLANK(tblbuyers[Income])</f>
        <v>0</v>
      </c>
      <c r="P799" t="str">
        <f>IF(tblbuyers[[#This Row],[Age]]&lt;30,"&lt;30",IF(tblbuyers[[#This Row],[Age]]&lt;=45,"30-45",IF(tblbuyers[[#This Row],[Age]]&lt;=60,"46-60","60+")))</f>
        <v>&lt;30</v>
      </c>
      <c r="Q799" t="str">
        <f>IF(tblbuyers[[#This Row],[Income]]&lt;30000,"Low",IF(tblbuyers[[#This Row],[Income]]&lt;=70000,"Medium","High"))</f>
        <v>Medium</v>
      </c>
      <c r="R799" s="7" t="str">
        <f>IF(OR(LOWER(TRIM(tblbuyers[[#This Row],[Purchased Bike]]))="yes",LOWER(TRIM(tblbuyers[[#This Row],[Purchased Bike]]))="y"),"Yes","No")</f>
        <v>Yes</v>
      </c>
    </row>
    <row r="800" spans="1:18"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c r="O800">
        <f>COUNTBLANK(tblbuyers[Income])</f>
        <v>0</v>
      </c>
      <c r="P800" t="str">
        <f>IF(tblbuyers[[#This Row],[Age]]&lt;30,"&lt;30",IF(tblbuyers[[#This Row],[Age]]&lt;=45,"30-45",IF(tblbuyers[[#This Row],[Age]]&lt;=60,"46-60","60+")))</f>
        <v>&lt;30</v>
      </c>
      <c r="Q800" t="str">
        <f>IF(tblbuyers[[#This Row],[Income]]&lt;30000,"Low",IF(tblbuyers[[#This Row],[Income]]&lt;=70000,"Medium","High"))</f>
        <v>Medium</v>
      </c>
      <c r="R800" s="7" t="str">
        <f>IF(OR(LOWER(TRIM(tblbuyers[[#This Row],[Purchased Bike]]))="yes",LOWER(TRIM(tblbuyers[[#This Row],[Purchased Bike]]))="y"),"Yes","No")</f>
        <v>Yes</v>
      </c>
    </row>
    <row r="801" spans="1:18"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c r="O801">
        <f>COUNTBLANK(tblbuyers[Income])</f>
        <v>0</v>
      </c>
      <c r="P801" t="str">
        <f>IF(tblbuyers[[#This Row],[Age]]&lt;30,"&lt;30",IF(tblbuyers[[#This Row],[Age]]&lt;=45,"30-45",IF(tblbuyers[[#This Row],[Age]]&lt;=60,"46-60","60+")))</f>
        <v>30-45</v>
      </c>
      <c r="Q801" t="str">
        <f>IF(tblbuyers[[#This Row],[Income]]&lt;30000,"Low",IF(tblbuyers[[#This Row],[Income]]&lt;=70000,"Medium","High"))</f>
        <v>Medium</v>
      </c>
      <c r="R801" s="7" t="str">
        <f>IF(OR(LOWER(TRIM(tblbuyers[[#This Row],[Purchased Bike]]))="yes",LOWER(TRIM(tblbuyers[[#This Row],[Purchased Bike]]))="y"),"Yes","No")</f>
        <v>Yes</v>
      </c>
    </row>
    <row r="802" spans="1:18"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c r="O802">
        <f>COUNTBLANK(tblbuyers[Income])</f>
        <v>0</v>
      </c>
      <c r="P802" t="str">
        <f>IF(tblbuyers[[#This Row],[Age]]&lt;30,"&lt;30",IF(tblbuyers[[#This Row],[Age]]&lt;=45,"30-45",IF(tblbuyers[[#This Row],[Age]]&lt;=60,"46-60","60+")))</f>
        <v>30-45</v>
      </c>
      <c r="Q802" t="str">
        <f>IF(tblbuyers[[#This Row],[Income]]&lt;30000,"Low",IF(tblbuyers[[#This Row],[Income]]&lt;=70000,"Medium","High"))</f>
        <v>Medium</v>
      </c>
      <c r="R802" s="7" t="str">
        <f>IF(OR(LOWER(TRIM(tblbuyers[[#This Row],[Purchased Bike]]))="yes",LOWER(TRIM(tblbuyers[[#This Row],[Purchased Bike]]))="y"),"Yes","No")</f>
        <v>Yes</v>
      </c>
    </row>
    <row r="803" spans="1:18"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c r="O803">
        <f>COUNTBLANK(tblbuyers[Income])</f>
        <v>0</v>
      </c>
      <c r="P803" t="str">
        <f>IF(tblbuyers[[#This Row],[Age]]&lt;30,"&lt;30",IF(tblbuyers[[#This Row],[Age]]&lt;=45,"30-45",IF(tblbuyers[[#This Row],[Age]]&lt;=60,"46-60","60+")))</f>
        <v>60+</v>
      </c>
      <c r="Q803" t="str">
        <f>IF(tblbuyers[[#This Row],[Income]]&lt;30000,"Low",IF(tblbuyers[[#This Row],[Income]]&lt;=70000,"Medium","High"))</f>
        <v>Medium</v>
      </c>
      <c r="R803" s="7" t="str">
        <f>IF(OR(LOWER(TRIM(tblbuyers[[#This Row],[Purchased Bike]]))="yes",LOWER(TRIM(tblbuyers[[#This Row],[Purchased Bike]]))="y"),"Yes","No")</f>
        <v>No</v>
      </c>
    </row>
    <row r="804" spans="1:18"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c r="O804">
        <f>COUNTBLANK(tblbuyers[Income])</f>
        <v>0</v>
      </c>
      <c r="P804" t="str">
        <f>IF(tblbuyers[[#This Row],[Age]]&lt;30,"&lt;30",IF(tblbuyers[[#This Row],[Age]]&lt;=45,"30-45",IF(tblbuyers[[#This Row],[Age]]&lt;=60,"46-60","60+")))</f>
        <v>&lt;30</v>
      </c>
      <c r="Q804" t="str">
        <f>IF(tblbuyers[[#This Row],[Income]]&lt;30000,"Low",IF(tblbuyers[[#This Row],[Income]]&lt;=70000,"Medium","High"))</f>
        <v>Medium</v>
      </c>
      <c r="R804" s="7" t="str">
        <f>IF(OR(LOWER(TRIM(tblbuyers[[#This Row],[Purchased Bike]]))="yes",LOWER(TRIM(tblbuyers[[#This Row],[Purchased Bike]]))="y"),"Yes","No")</f>
        <v>No</v>
      </c>
    </row>
    <row r="805" spans="1:18"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c r="O805">
        <f>COUNTBLANK(tblbuyers[Income])</f>
        <v>0</v>
      </c>
      <c r="P805" t="str">
        <f>IF(tblbuyers[[#This Row],[Age]]&lt;30,"&lt;30",IF(tblbuyers[[#This Row],[Age]]&lt;=45,"30-45",IF(tblbuyers[[#This Row],[Age]]&lt;=60,"46-60","60+")))</f>
        <v>&lt;30</v>
      </c>
      <c r="Q805" t="str">
        <f>IF(tblbuyers[[#This Row],[Income]]&lt;30000,"Low",IF(tblbuyers[[#This Row],[Income]]&lt;=70000,"Medium","High"))</f>
        <v>Medium</v>
      </c>
      <c r="R805" s="7" t="str">
        <f>IF(OR(LOWER(TRIM(tblbuyers[[#This Row],[Purchased Bike]]))="yes",LOWER(TRIM(tblbuyers[[#This Row],[Purchased Bike]]))="y"),"Yes","No")</f>
        <v>Yes</v>
      </c>
    </row>
    <row r="806" spans="1:18"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c r="O806">
        <f>COUNTBLANK(tblbuyers[Income])</f>
        <v>0</v>
      </c>
      <c r="P806" t="str">
        <f>IF(tblbuyers[[#This Row],[Age]]&lt;30,"&lt;30",IF(tblbuyers[[#This Row],[Age]]&lt;=45,"30-45",IF(tblbuyers[[#This Row],[Age]]&lt;=60,"46-60","60+")))</f>
        <v>&lt;30</v>
      </c>
      <c r="Q806" t="str">
        <f>IF(tblbuyers[[#This Row],[Income]]&lt;30000,"Low",IF(tblbuyers[[#This Row],[Income]]&lt;=70000,"Medium","High"))</f>
        <v>Medium</v>
      </c>
      <c r="R806" s="7" t="str">
        <f>IF(OR(LOWER(TRIM(tblbuyers[[#This Row],[Purchased Bike]]))="yes",LOWER(TRIM(tblbuyers[[#This Row],[Purchased Bike]]))="y"),"Yes","No")</f>
        <v>Yes</v>
      </c>
    </row>
    <row r="807" spans="1:18"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c r="O807">
        <f>COUNTBLANK(tblbuyers[Income])</f>
        <v>0</v>
      </c>
      <c r="P807" t="str">
        <f>IF(tblbuyers[[#This Row],[Age]]&lt;30,"&lt;30",IF(tblbuyers[[#This Row],[Age]]&lt;=45,"30-45",IF(tblbuyers[[#This Row],[Age]]&lt;=60,"46-60","60+")))</f>
        <v>30-45</v>
      </c>
      <c r="Q807" t="str">
        <f>IF(tblbuyers[[#This Row],[Income]]&lt;30000,"Low",IF(tblbuyers[[#This Row],[Income]]&lt;=70000,"Medium","High"))</f>
        <v>Medium</v>
      </c>
      <c r="R807" s="7" t="str">
        <f>IF(OR(LOWER(TRIM(tblbuyers[[#This Row],[Purchased Bike]]))="yes",LOWER(TRIM(tblbuyers[[#This Row],[Purchased Bike]]))="y"),"Yes","No")</f>
        <v>No</v>
      </c>
    </row>
    <row r="808" spans="1:18"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c r="O808">
        <f>COUNTBLANK(tblbuyers[Income])</f>
        <v>0</v>
      </c>
      <c r="P808" t="str">
        <f>IF(tblbuyers[[#This Row],[Age]]&lt;30,"&lt;30",IF(tblbuyers[[#This Row],[Age]]&lt;=45,"30-45",IF(tblbuyers[[#This Row],[Age]]&lt;=60,"46-60","60+")))</f>
        <v>46-60</v>
      </c>
      <c r="Q808" t="str">
        <f>IF(tblbuyers[[#This Row],[Income]]&lt;30000,"Low",IF(tblbuyers[[#This Row],[Income]]&lt;=70000,"Medium","High"))</f>
        <v>Low</v>
      </c>
      <c r="R808" s="7" t="str">
        <f>IF(OR(LOWER(TRIM(tblbuyers[[#This Row],[Purchased Bike]]))="yes",LOWER(TRIM(tblbuyers[[#This Row],[Purchased Bike]]))="y"),"Yes","No")</f>
        <v>No</v>
      </c>
    </row>
    <row r="809" spans="1:18"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c r="O809">
        <f>COUNTBLANK(tblbuyers[Income])</f>
        <v>0</v>
      </c>
      <c r="P809" t="str">
        <f>IF(tblbuyers[[#This Row],[Age]]&lt;30,"&lt;30",IF(tblbuyers[[#This Row],[Age]]&lt;=45,"30-45",IF(tblbuyers[[#This Row],[Age]]&lt;=60,"46-60","60+")))</f>
        <v>30-45</v>
      </c>
      <c r="Q809" t="str">
        <f>IF(tblbuyers[[#This Row],[Income]]&lt;30000,"Low",IF(tblbuyers[[#This Row],[Income]]&lt;=70000,"Medium","High"))</f>
        <v>Medium</v>
      </c>
      <c r="R809" s="7" t="str">
        <f>IF(OR(LOWER(TRIM(tblbuyers[[#This Row],[Purchased Bike]]))="yes",LOWER(TRIM(tblbuyers[[#This Row],[Purchased Bike]]))="y"),"Yes","No")</f>
        <v>Yes</v>
      </c>
    </row>
    <row r="810" spans="1:18"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c r="O810">
        <f>COUNTBLANK(tblbuyers[Income])</f>
        <v>0</v>
      </c>
      <c r="P810" t="str">
        <f>IF(tblbuyers[[#This Row],[Age]]&lt;30,"&lt;30",IF(tblbuyers[[#This Row],[Age]]&lt;=45,"30-45",IF(tblbuyers[[#This Row],[Age]]&lt;=60,"46-60","60+")))</f>
        <v>46-60</v>
      </c>
      <c r="Q810" t="str">
        <f>IF(tblbuyers[[#This Row],[Income]]&lt;30000,"Low",IF(tblbuyers[[#This Row],[Income]]&lt;=70000,"Medium","High"))</f>
        <v>Medium</v>
      </c>
      <c r="R810" s="7" t="str">
        <f>IF(OR(LOWER(TRIM(tblbuyers[[#This Row],[Purchased Bike]]))="yes",LOWER(TRIM(tblbuyers[[#This Row],[Purchased Bike]]))="y"),"Yes","No")</f>
        <v>Yes</v>
      </c>
    </row>
    <row r="811" spans="1:18"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c r="O811">
        <f>COUNTBLANK(tblbuyers[Income])</f>
        <v>0</v>
      </c>
      <c r="P811" t="str">
        <f>IF(tblbuyers[[#This Row],[Age]]&lt;30,"&lt;30",IF(tblbuyers[[#This Row],[Age]]&lt;=45,"30-45",IF(tblbuyers[[#This Row],[Age]]&lt;=60,"46-60","60+")))</f>
        <v>60+</v>
      </c>
      <c r="Q811" t="str">
        <f>IF(tblbuyers[[#This Row],[Income]]&lt;30000,"Low",IF(tblbuyers[[#This Row],[Income]]&lt;=70000,"Medium","High"))</f>
        <v>Medium</v>
      </c>
      <c r="R811" s="7" t="str">
        <f>IF(OR(LOWER(TRIM(tblbuyers[[#This Row],[Purchased Bike]]))="yes",LOWER(TRIM(tblbuyers[[#This Row],[Purchased Bike]]))="y"),"Yes","No")</f>
        <v>No</v>
      </c>
    </row>
    <row r="812" spans="1:18"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c r="O812">
        <f>COUNTBLANK(tblbuyers[Income])</f>
        <v>0</v>
      </c>
      <c r="P812" t="str">
        <f>IF(tblbuyers[[#This Row],[Age]]&lt;30,"&lt;30",IF(tblbuyers[[#This Row],[Age]]&lt;=45,"30-45",IF(tblbuyers[[#This Row],[Age]]&lt;=60,"46-60","60+")))</f>
        <v>46-60</v>
      </c>
      <c r="Q812" t="str">
        <f>IF(tblbuyers[[#This Row],[Income]]&lt;30000,"Low",IF(tblbuyers[[#This Row],[Income]]&lt;=70000,"Medium","High"))</f>
        <v>Medium</v>
      </c>
      <c r="R812" s="7" t="str">
        <f>IF(OR(LOWER(TRIM(tblbuyers[[#This Row],[Purchased Bike]]))="yes",LOWER(TRIM(tblbuyers[[#This Row],[Purchased Bike]]))="y"),"Yes","No")</f>
        <v>Yes</v>
      </c>
    </row>
    <row r="813" spans="1:18"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c r="O813">
        <f>COUNTBLANK(tblbuyers[Income])</f>
        <v>0</v>
      </c>
      <c r="P813" t="str">
        <f>IF(tblbuyers[[#This Row],[Age]]&lt;30,"&lt;30",IF(tblbuyers[[#This Row],[Age]]&lt;=45,"30-45",IF(tblbuyers[[#This Row],[Age]]&lt;=60,"46-60","60+")))</f>
        <v>30-45</v>
      </c>
      <c r="Q813" t="str">
        <f>IF(tblbuyers[[#This Row],[Income]]&lt;30000,"Low",IF(tblbuyers[[#This Row],[Income]]&lt;=70000,"Medium","High"))</f>
        <v>Medium</v>
      </c>
      <c r="R813" s="7" t="str">
        <f>IF(OR(LOWER(TRIM(tblbuyers[[#This Row],[Purchased Bike]]))="yes",LOWER(TRIM(tblbuyers[[#This Row],[Purchased Bike]]))="y"),"Yes","No")</f>
        <v>No</v>
      </c>
    </row>
    <row r="814" spans="1:18"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c r="O814">
        <f>COUNTBLANK(tblbuyers[Income])</f>
        <v>0</v>
      </c>
      <c r="P814" t="str">
        <f>IF(tblbuyers[[#This Row],[Age]]&lt;30,"&lt;30",IF(tblbuyers[[#This Row],[Age]]&lt;=45,"30-45",IF(tblbuyers[[#This Row],[Age]]&lt;=60,"46-60","60+")))</f>
        <v>60+</v>
      </c>
      <c r="Q814" t="str">
        <f>IF(tblbuyers[[#This Row],[Income]]&lt;30000,"Low",IF(tblbuyers[[#This Row],[Income]]&lt;=70000,"Medium","High"))</f>
        <v>Medium</v>
      </c>
      <c r="R814" s="7" t="str">
        <f>IF(OR(LOWER(TRIM(tblbuyers[[#This Row],[Purchased Bike]]))="yes",LOWER(TRIM(tblbuyers[[#This Row],[Purchased Bike]]))="y"),"Yes","No")</f>
        <v>No</v>
      </c>
    </row>
    <row r="815" spans="1:18" x14ac:dyDescent="0.25">
      <c r="A815">
        <v>25899</v>
      </c>
      <c r="B815" t="s">
        <v>36</v>
      </c>
      <c r="C815" t="s">
        <v>38</v>
      </c>
      <c r="D815" s="3">
        <v>70000</v>
      </c>
      <c r="E815">
        <v>2</v>
      </c>
      <c r="F815" t="s">
        <v>27</v>
      </c>
      <c r="G815" t="s">
        <v>21</v>
      </c>
      <c r="H815" t="s">
        <v>15</v>
      </c>
      <c r="I815">
        <v>2</v>
      </c>
      <c r="J815" t="s">
        <v>30</v>
      </c>
      <c r="K815" t="s">
        <v>32</v>
      </c>
      <c r="L815">
        <v>53</v>
      </c>
      <c r="M815" t="str">
        <f t="shared" si="12"/>
        <v>Middle Age</v>
      </c>
      <c r="N815" t="s">
        <v>18</v>
      </c>
      <c r="O815">
        <f>COUNTBLANK(tblbuyers[Income])</f>
        <v>0</v>
      </c>
      <c r="P815" t="str">
        <f>IF(tblbuyers[[#This Row],[Age]]&lt;30,"&lt;30",IF(tblbuyers[[#This Row],[Age]]&lt;=45,"30-45",IF(tblbuyers[[#This Row],[Age]]&lt;=60,"46-60","60+")))</f>
        <v>46-60</v>
      </c>
      <c r="Q815" t="str">
        <f>IF(tblbuyers[[#This Row],[Income]]&lt;30000,"Low",IF(tblbuyers[[#This Row],[Income]]&lt;=70000,"Medium","High"))</f>
        <v>Medium</v>
      </c>
      <c r="R815" s="7" t="str">
        <f>IF(OR(LOWER(TRIM(tblbuyers[[#This Row],[Purchased Bike]]))="yes",LOWER(TRIM(tblbuyers[[#This Row],[Purchased Bike]]))="y"),"Yes","No")</f>
        <v>No</v>
      </c>
    </row>
    <row r="816" spans="1:18"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c r="O816">
        <f>COUNTBLANK(tblbuyers[Income])</f>
        <v>0</v>
      </c>
      <c r="P816" t="str">
        <f>IF(tblbuyers[[#This Row],[Age]]&lt;30,"&lt;30",IF(tblbuyers[[#This Row],[Age]]&lt;=45,"30-45",IF(tblbuyers[[#This Row],[Age]]&lt;=60,"46-60","60+")))</f>
        <v>60+</v>
      </c>
      <c r="Q816" t="str">
        <f>IF(tblbuyers[[#This Row],[Income]]&lt;30000,"Low",IF(tblbuyers[[#This Row],[Income]]&lt;=70000,"Medium","High"))</f>
        <v>Medium</v>
      </c>
      <c r="R816" s="7" t="str">
        <f>IF(OR(LOWER(TRIM(tblbuyers[[#This Row],[Purchased Bike]]))="yes",LOWER(TRIM(tblbuyers[[#This Row],[Purchased Bike]]))="y"),"Yes","No")</f>
        <v>Yes</v>
      </c>
    </row>
    <row r="817" spans="1:18"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c r="O817">
        <f>COUNTBLANK(tblbuyers[Income])</f>
        <v>0</v>
      </c>
      <c r="P817" t="str">
        <f>IF(tblbuyers[[#This Row],[Age]]&lt;30,"&lt;30",IF(tblbuyers[[#This Row],[Age]]&lt;=45,"30-45",IF(tblbuyers[[#This Row],[Age]]&lt;=60,"46-60","60+")))</f>
        <v>30-45</v>
      </c>
      <c r="Q817" t="str">
        <f>IF(tblbuyers[[#This Row],[Income]]&lt;30000,"Low",IF(tblbuyers[[#This Row],[Income]]&lt;=70000,"Medium","High"))</f>
        <v>Medium</v>
      </c>
      <c r="R817" s="7" t="str">
        <f>IF(OR(LOWER(TRIM(tblbuyers[[#This Row],[Purchased Bike]]))="yes",LOWER(TRIM(tblbuyers[[#This Row],[Purchased Bike]]))="y"),"Yes","No")</f>
        <v>No</v>
      </c>
    </row>
    <row r="818" spans="1:18"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c r="O818">
        <f>COUNTBLANK(tblbuyers[Income])</f>
        <v>0</v>
      </c>
      <c r="P818" t="str">
        <f>IF(tblbuyers[[#This Row],[Age]]&lt;30,"&lt;30",IF(tblbuyers[[#This Row],[Age]]&lt;=45,"30-45",IF(tblbuyers[[#This Row],[Age]]&lt;=60,"46-60","60+")))</f>
        <v>30-45</v>
      </c>
      <c r="Q818" t="str">
        <f>IF(tblbuyers[[#This Row],[Income]]&lt;30000,"Low",IF(tblbuyers[[#This Row],[Income]]&lt;=70000,"Medium","High"))</f>
        <v>Medium</v>
      </c>
      <c r="R818" s="7" t="str">
        <f>IF(OR(LOWER(TRIM(tblbuyers[[#This Row],[Purchased Bike]]))="yes",LOWER(TRIM(tblbuyers[[#This Row],[Purchased Bike]]))="y"),"Yes","No")</f>
        <v>Yes</v>
      </c>
    </row>
    <row r="819" spans="1:18"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c r="O819">
        <f>COUNTBLANK(tblbuyers[Income])</f>
        <v>0</v>
      </c>
      <c r="P819" t="str">
        <f>IF(tblbuyers[[#This Row],[Age]]&lt;30,"&lt;30",IF(tblbuyers[[#This Row],[Age]]&lt;=45,"30-45",IF(tblbuyers[[#This Row],[Age]]&lt;=60,"46-60","60+")))</f>
        <v>30-45</v>
      </c>
      <c r="Q819" t="str">
        <f>IF(tblbuyers[[#This Row],[Income]]&lt;30000,"Low",IF(tblbuyers[[#This Row],[Income]]&lt;=70000,"Medium","High"))</f>
        <v>Medium</v>
      </c>
      <c r="R819" s="7" t="str">
        <f>IF(OR(LOWER(TRIM(tblbuyers[[#This Row],[Purchased Bike]]))="yes",LOWER(TRIM(tblbuyers[[#This Row],[Purchased Bike]]))="y"),"Yes","No")</f>
        <v>Yes</v>
      </c>
    </row>
    <row r="820" spans="1:18"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c r="O820">
        <f>COUNTBLANK(tblbuyers[Income])</f>
        <v>0</v>
      </c>
      <c r="P820" t="str">
        <f>IF(tblbuyers[[#This Row],[Age]]&lt;30,"&lt;30",IF(tblbuyers[[#This Row],[Age]]&lt;=45,"30-45",IF(tblbuyers[[#This Row],[Age]]&lt;=60,"46-60","60+")))</f>
        <v>30-45</v>
      </c>
      <c r="Q820" t="str">
        <f>IF(tblbuyers[[#This Row],[Income]]&lt;30000,"Low",IF(tblbuyers[[#This Row],[Income]]&lt;=70000,"Medium","High"))</f>
        <v>Medium</v>
      </c>
      <c r="R820" s="7" t="str">
        <f>IF(OR(LOWER(TRIM(tblbuyers[[#This Row],[Purchased Bike]]))="yes",LOWER(TRIM(tblbuyers[[#This Row],[Purchased Bike]]))="y"),"Yes","No")</f>
        <v>No</v>
      </c>
    </row>
    <row r="821" spans="1:18"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c r="O821">
        <f>COUNTBLANK(tblbuyers[Income])</f>
        <v>0</v>
      </c>
      <c r="P821" t="str">
        <f>IF(tblbuyers[[#This Row],[Age]]&lt;30,"&lt;30",IF(tblbuyers[[#This Row],[Age]]&lt;=45,"30-45",IF(tblbuyers[[#This Row],[Age]]&lt;=60,"46-60","60+")))</f>
        <v>30-45</v>
      </c>
      <c r="Q821" t="str">
        <f>IF(tblbuyers[[#This Row],[Income]]&lt;30000,"Low",IF(tblbuyers[[#This Row],[Income]]&lt;=70000,"Medium","High"))</f>
        <v>Medium</v>
      </c>
      <c r="R821" s="7" t="str">
        <f>IF(OR(LOWER(TRIM(tblbuyers[[#This Row],[Purchased Bike]]))="yes",LOWER(TRIM(tblbuyers[[#This Row],[Purchased Bike]]))="y"),"Yes","No")</f>
        <v>No</v>
      </c>
    </row>
    <row r="822" spans="1:18"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c r="O822">
        <f>COUNTBLANK(tblbuyers[Income])</f>
        <v>0</v>
      </c>
      <c r="P822" t="str">
        <f>IF(tblbuyers[[#This Row],[Age]]&lt;30,"&lt;30",IF(tblbuyers[[#This Row],[Age]]&lt;=45,"30-45",IF(tblbuyers[[#This Row],[Age]]&lt;=60,"46-60","60+")))</f>
        <v>30-45</v>
      </c>
      <c r="Q822" t="str">
        <f>IF(tblbuyers[[#This Row],[Income]]&lt;30000,"Low",IF(tblbuyers[[#This Row],[Income]]&lt;=70000,"Medium","High"))</f>
        <v>High</v>
      </c>
      <c r="R822" s="7" t="str">
        <f>IF(OR(LOWER(TRIM(tblbuyers[[#This Row],[Purchased Bike]]))="yes",LOWER(TRIM(tblbuyers[[#This Row],[Purchased Bike]]))="y"),"Yes","No")</f>
        <v>No</v>
      </c>
    </row>
    <row r="823" spans="1:18"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c r="O823">
        <f>COUNTBLANK(tblbuyers[Income])</f>
        <v>0</v>
      </c>
      <c r="P823" t="str">
        <f>IF(tblbuyers[[#This Row],[Age]]&lt;30,"&lt;30",IF(tblbuyers[[#This Row],[Age]]&lt;=45,"30-45",IF(tblbuyers[[#This Row],[Age]]&lt;=60,"46-60","60+")))</f>
        <v>30-45</v>
      </c>
      <c r="Q823" t="str">
        <f>IF(tblbuyers[[#This Row],[Income]]&lt;30000,"Low",IF(tblbuyers[[#This Row],[Income]]&lt;=70000,"Medium","High"))</f>
        <v>Medium</v>
      </c>
      <c r="R823" s="7" t="str">
        <f>IF(OR(LOWER(TRIM(tblbuyers[[#This Row],[Purchased Bike]]))="yes",LOWER(TRIM(tblbuyers[[#This Row],[Purchased Bike]]))="y"),"Yes","No")</f>
        <v>Yes</v>
      </c>
    </row>
    <row r="824" spans="1:18"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c r="O824">
        <f>COUNTBLANK(tblbuyers[Income])</f>
        <v>0</v>
      </c>
      <c r="P824" t="str">
        <f>IF(tblbuyers[[#This Row],[Age]]&lt;30,"&lt;30",IF(tblbuyers[[#This Row],[Age]]&lt;=45,"30-45",IF(tblbuyers[[#This Row],[Age]]&lt;=60,"46-60","60+")))</f>
        <v>30-45</v>
      </c>
      <c r="Q824" t="str">
        <f>IF(tblbuyers[[#This Row],[Income]]&lt;30000,"Low",IF(tblbuyers[[#This Row],[Income]]&lt;=70000,"Medium","High"))</f>
        <v>Medium</v>
      </c>
      <c r="R824" s="7" t="str">
        <f>IF(OR(LOWER(TRIM(tblbuyers[[#This Row],[Purchased Bike]]))="yes",LOWER(TRIM(tblbuyers[[#This Row],[Purchased Bike]]))="y"),"Yes","No")</f>
        <v>No</v>
      </c>
    </row>
    <row r="825" spans="1:18"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c r="O825">
        <f>COUNTBLANK(tblbuyers[Income])</f>
        <v>0</v>
      </c>
      <c r="P825" t="str">
        <f>IF(tblbuyers[[#This Row],[Age]]&lt;30,"&lt;30",IF(tblbuyers[[#This Row],[Age]]&lt;=45,"30-45",IF(tblbuyers[[#This Row],[Age]]&lt;=60,"46-60","60+")))</f>
        <v>46-60</v>
      </c>
      <c r="Q825" t="str">
        <f>IF(tblbuyers[[#This Row],[Income]]&lt;30000,"Low",IF(tblbuyers[[#This Row],[Income]]&lt;=70000,"Medium","High"))</f>
        <v>Medium</v>
      </c>
      <c r="R825" s="7" t="str">
        <f>IF(OR(LOWER(TRIM(tblbuyers[[#This Row],[Purchased Bike]]))="yes",LOWER(TRIM(tblbuyers[[#This Row],[Purchased Bike]]))="y"),"Yes","No")</f>
        <v>Yes</v>
      </c>
    </row>
    <row r="826" spans="1:18"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c r="O826">
        <f>COUNTBLANK(tblbuyers[Income])</f>
        <v>0</v>
      </c>
      <c r="P826" t="str">
        <f>IF(tblbuyers[[#This Row],[Age]]&lt;30,"&lt;30",IF(tblbuyers[[#This Row],[Age]]&lt;=45,"30-45",IF(tblbuyers[[#This Row],[Age]]&lt;=60,"46-60","60+")))</f>
        <v>30-45</v>
      </c>
      <c r="Q826" t="str">
        <f>IF(tblbuyers[[#This Row],[Income]]&lt;30000,"Low",IF(tblbuyers[[#This Row],[Income]]&lt;=70000,"Medium","High"))</f>
        <v>High</v>
      </c>
      <c r="R826" s="7" t="str">
        <f>IF(OR(LOWER(TRIM(tblbuyers[[#This Row],[Purchased Bike]]))="yes",LOWER(TRIM(tblbuyers[[#This Row],[Purchased Bike]]))="y"),"Yes","No")</f>
        <v>Yes</v>
      </c>
    </row>
    <row r="827" spans="1:18"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c r="O827">
        <f>COUNTBLANK(tblbuyers[Income])</f>
        <v>0</v>
      </c>
      <c r="P827" t="str">
        <f>IF(tblbuyers[[#This Row],[Age]]&lt;30,"&lt;30",IF(tblbuyers[[#This Row],[Age]]&lt;=45,"30-45",IF(tblbuyers[[#This Row],[Age]]&lt;=60,"46-60","60+")))</f>
        <v>46-60</v>
      </c>
      <c r="Q827" t="str">
        <f>IF(tblbuyers[[#This Row],[Income]]&lt;30000,"Low",IF(tblbuyers[[#This Row],[Income]]&lt;=70000,"Medium","High"))</f>
        <v>Medium</v>
      </c>
      <c r="R827" s="7" t="str">
        <f>IF(OR(LOWER(TRIM(tblbuyers[[#This Row],[Purchased Bike]]))="yes",LOWER(TRIM(tblbuyers[[#This Row],[Purchased Bike]]))="y"),"Yes","No")</f>
        <v>Yes</v>
      </c>
    </row>
    <row r="828" spans="1:18"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c r="O828">
        <f>COUNTBLANK(tblbuyers[Income])</f>
        <v>0</v>
      </c>
      <c r="P828" t="str">
        <f>IF(tblbuyers[[#This Row],[Age]]&lt;30,"&lt;30",IF(tblbuyers[[#This Row],[Age]]&lt;=45,"30-45",IF(tblbuyers[[#This Row],[Age]]&lt;=60,"46-60","60+")))</f>
        <v>30-45</v>
      </c>
      <c r="Q828" t="str">
        <f>IF(tblbuyers[[#This Row],[Income]]&lt;30000,"Low",IF(tblbuyers[[#This Row],[Income]]&lt;=70000,"Medium","High"))</f>
        <v>Medium</v>
      </c>
      <c r="R828" s="7" t="str">
        <f>IF(OR(LOWER(TRIM(tblbuyers[[#This Row],[Purchased Bike]]))="yes",LOWER(TRIM(tblbuyers[[#This Row],[Purchased Bike]]))="y"),"Yes","No")</f>
        <v>Yes</v>
      </c>
    </row>
    <row r="829" spans="1:18"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c r="O829">
        <f>COUNTBLANK(tblbuyers[Income])</f>
        <v>0</v>
      </c>
      <c r="P829" t="str">
        <f>IF(tblbuyers[[#This Row],[Age]]&lt;30,"&lt;30",IF(tblbuyers[[#This Row],[Age]]&lt;=45,"30-45",IF(tblbuyers[[#This Row],[Age]]&lt;=60,"46-60","60+")))</f>
        <v>30-45</v>
      </c>
      <c r="Q829" t="str">
        <f>IF(tblbuyers[[#This Row],[Income]]&lt;30000,"Low",IF(tblbuyers[[#This Row],[Income]]&lt;=70000,"Medium","High"))</f>
        <v>High</v>
      </c>
      <c r="R829" s="7" t="str">
        <f>IF(OR(LOWER(TRIM(tblbuyers[[#This Row],[Purchased Bike]]))="yes",LOWER(TRIM(tblbuyers[[#This Row],[Purchased Bike]]))="y"),"Yes","No")</f>
        <v>Yes</v>
      </c>
    </row>
    <row r="830" spans="1:18"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c r="O830">
        <f>COUNTBLANK(tblbuyers[Income])</f>
        <v>0</v>
      </c>
      <c r="P830" t="str">
        <f>IF(tblbuyers[[#This Row],[Age]]&lt;30,"&lt;30",IF(tblbuyers[[#This Row],[Age]]&lt;=45,"30-45",IF(tblbuyers[[#This Row],[Age]]&lt;=60,"46-60","60+")))</f>
        <v>&lt;30</v>
      </c>
      <c r="Q830" t="str">
        <f>IF(tblbuyers[[#This Row],[Income]]&lt;30000,"Low",IF(tblbuyers[[#This Row],[Income]]&lt;=70000,"Medium","High"))</f>
        <v>Medium</v>
      </c>
      <c r="R830" s="7" t="str">
        <f>IF(OR(LOWER(TRIM(tblbuyers[[#This Row],[Purchased Bike]]))="yes",LOWER(TRIM(tblbuyers[[#This Row],[Purchased Bike]]))="y"),"Yes","No")</f>
        <v>No</v>
      </c>
    </row>
    <row r="831" spans="1:18"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c r="O831">
        <f>COUNTBLANK(tblbuyers[Income])</f>
        <v>0</v>
      </c>
      <c r="P831" t="str">
        <f>IF(tblbuyers[[#This Row],[Age]]&lt;30,"&lt;30",IF(tblbuyers[[#This Row],[Age]]&lt;=45,"30-45",IF(tblbuyers[[#This Row],[Age]]&lt;=60,"46-60","60+")))</f>
        <v>60+</v>
      </c>
      <c r="Q831" t="str">
        <f>IF(tblbuyers[[#This Row],[Income]]&lt;30000,"Low",IF(tblbuyers[[#This Row],[Income]]&lt;=70000,"Medium","High"))</f>
        <v>High</v>
      </c>
      <c r="R831" s="7" t="str">
        <f>IF(OR(LOWER(TRIM(tblbuyers[[#This Row],[Purchased Bike]]))="yes",LOWER(TRIM(tblbuyers[[#This Row],[Purchased Bike]]))="y"),"Yes","No")</f>
        <v>No</v>
      </c>
    </row>
    <row r="832" spans="1:18"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c r="O832">
        <f>COUNTBLANK(tblbuyers[Income])</f>
        <v>0</v>
      </c>
      <c r="P832" t="str">
        <f>IF(tblbuyers[[#This Row],[Age]]&lt;30,"&lt;30",IF(tblbuyers[[#This Row],[Age]]&lt;=45,"30-45",IF(tblbuyers[[#This Row],[Age]]&lt;=60,"46-60","60+")))</f>
        <v>46-60</v>
      </c>
      <c r="Q832" t="str">
        <f>IF(tblbuyers[[#This Row],[Income]]&lt;30000,"Low",IF(tblbuyers[[#This Row],[Income]]&lt;=70000,"Medium","High"))</f>
        <v>Medium</v>
      </c>
      <c r="R832" s="7" t="str">
        <f>IF(OR(LOWER(TRIM(tblbuyers[[#This Row],[Purchased Bike]]))="yes",LOWER(TRIM(tblbuyers[[#This Row],[Purchased Bike]]))="y"),"Yes","No")</f>
        <v>No</v>
      </c>
    </row>
    <row r="833" spans="1:18"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c r="O833">
        <f>COUNTBLANK(tblbuyers[Income])</f>
        <v>0</v>
      </c>
      <c r="P833" t="str">
        <f>IF(tblbuyers[[#This Row],[Age]]&lt;30,"&lt;30",IF(tblbuyers[[#This Row],[Age]]&lt;=45,"30-45",IF(tblbuyers[[#This Row],[Age]]&lt;=60,"46-60","60+")))</f>
        <v>30-45</v>
      </c>
      <c r="Q833" t="str">
        <f>IF(tblbuyers[[#This Row],[Income]]&lt;30000,"Low",IF(tblbuyers[[#This Row],[Income]]&lt;=70000,"Medium","High"))</f>
        <v>Medium</v>
      </c>
      <c r="R833" s="7" t="str">
        <f>IF(OR(LOWER(TRIM(tblbuyers[[#This Row],[Purchased Bike]]))="yes",LOWER(TRIM(tblbuyers[[#This Row],[Purchased Bike]]))="y"),"Yes","No")</f>
        <v>Yes</v>
      </c>
    </row>
    <row r="834" spans="1:18"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c r="O834">
        <f>COUNTBLANK(tblbuyers[Income])</f>
        <v>0</v>
      </c>
      <c r="P834" t="str">
        <f>IF(tblbuyers[[#This Row],[Age]]&lt;30,"&lt;30",IF(tblbuyers[[#This Row],[Age]]&lt;=45,"30-45",IF(tblbuyers[[#This Row],[Age]]&lt;=60,"46-60","60+")))</f>
        <v>30-45</v>
      </c>
      <c r="Q834" t="str">
        <f>IF(tblbuyers[[#This Row],[Income]]&lt;30000,"Low",IF(tblbuyers[[#This Row],[Income]]&lt;=70000,"Medium","High"))</f>
        <v>Medium</v>
      </c>
      <c r="R834" s="7" t="str">
        <f>IF(OR(LOWER(TRIM(tblbuyers[[#This Row],[Purchased Bike]]))="yes",LOWER(TRIM(tblbuyers[[#This Row],[Purchased Bike]]))="y"),"Yes","No")</f>
        <v>No</v>
      </c>
    </row>
    <row r="835" spans="1:18"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c r="O835">
        <f>COUNTBLANK(tblbuyers[Income])</f>
        <v>0</v>
      </c>
      <c r="P835" t="str">
        <f>IF(tblbuyers[[#This Row],[Age]]&lt;30,"&lt;30",IF(tblbuyers[[#This Row],[Age]]&lt;=45,"30-45",IF(tblbuyers[[#This Row],[Age]]&lt;=60,"46-60","60+")))</f>
        <v>30-45</v>
      </c>
      <c r="Q835" t="str">
        <f>IF(tblbuyers[[#This Row],[Income]]&lt;30000,"Low",IF(tblbuyers[[#This Row],[Income]]&lt;=70000,"Medium","High"))</f>
        <v>Medium</v>
      </c>
      <c r="R835" s="7" t="str">
        <f>IF(OR(LOWER(TRIM(tblbuyers[[#This Row],[Purchased Bike]]))="yes",LOWER(TRIM(tblbuyers[[#This Row],[Purchased Bike]]))="y"),"Yes","No")</f>
        <v>Yes</v>
      </c>
    </row>
    <row r="836" spans="1:18"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c r="O836">
        <f>COUNTBLANK(tblbuyers[Income])</f>
        <v>0</v>
      </c>
      <c r="P836" t="str">
        <f>IF(tblbuyers[[#This Row],[Age]]&lt;30,"&lt;30",IF(tblbuyers[[#This Row],[Age]]&lt;=45,"30-45",IF(tblbuyers[[#This Row],[Age]]&lt;=60,"46-60","60+")))</f>
        <v>46-60</v>
      </c>
      <c r="Q836" t="str">
        <f>IF(tblbuyers[[#This Row],[Income]]&lt;30000,"Low",IF(tblbuyers[[#This Row],[Income]]&lt;=70000,"Medium","High"))</f>
        <v>Medium</v>
      </c>
      <c r="R836" s="7" t="str">
        <f>IF(OR(LOWER(TRIM(tblbuyers[[#This Row],[Purchased Bike]]))="yes",LOWER(TRIM(tblbuyers[[#This Row],[Purchased Bike]]))="y"),"Yes","No")</f>
        <v>Yes</v>
      </c>
    </row>
    <row r="837" spans="1:18"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c r="O837">
        <f>COUNTBLANK(tblbuyers[Income])</f>
        <v>0</v>
      </c>
      <c r="P837" t="str">
        <f>IF(tblbuyers[[#This Row],[Age]]&lt;30,"&lt;30",IF(tblbuyers[[#This Row],[Age]]&lt;=45,"30-45",IF(tblbuyers[[#This Row],[Age]]&lt;=60,"46-60","60+")))</f>
        <v>30-45</v>
      </c>
      <c r="Q837" t="str">
        <f>IF(tblbuyers[[#This Row],[Income]]&lt;30000,"Low",IF(tblbuyers[[#This Row],[Income]]&lt;=70000,"Medium","High"))</f>
        <v>Medium</v>
      </c>
      <c r="R837" s="7" t="str">
        <f>IF(OR(LOWER(TRIM(tblbuyers[[#This Row],[Purchased Bike]]))="yes",LOWER(TRIM(tblbuyers[[#This Row],[Purchased Bike]]))="y"),"Yes","No")</f>
        <v>Yes</v>
      </c>
    </row>
    <row r="838" spans="1:18"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c r="O838">
        <f>COUNTBLANK(tblbuyers[Income])</f>
        <v>0</v>
      </c>
      <c r="P838" t="str">
        <f>IF(tblbuyers[[#This Row],[Age]]&lt;30,"&lt;30",IF(tblbuyers[[#This Row],[Age]]&lt;=45,"30-45",IF(tblbuyers[[#This Row],[Age]]&lt;=60,"46-60","60+")))</f>
        <v>&lt;30</v>
      </c>
      <c r="Q838" t="str">
        <f>IF(tblbuyers[[#This Row],[Income]]&lt;30000,"Low",IF(tblbuyers[[#This Row],[Income]]&lt;=70000,"Medium","High"))</f>
        <v>Medium</v>
      </c>
      <c r="R838" s="7" t="str">
        <f>IF(OR(LOWER(TRIM(tblbuyers[[#This Row],[Purchased Bike]]))="yes",LOWER(TRIM(tblbuyers[[#This Row],[Purchased Bike]]))="y"),"Yes","No")</f>
        <v>No</v>
      </c>
    </row>
    <row r="839" spans="1:18"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c r="O839">
        <f>COUNTBLANK(tblbuyers[Income])</f>
        <v>0</v>
      </c>
      <c r="P839" t="str">
        <f>IF(tblbuyers[[#This Row],[Age]]&lt;30,"&lt;30",IF(tblbuyers[[#This Row],[Age]]&lt;=45,"30-45",IF(tblbuyers[[#This Row],[Age]]&lt;=60,"46-60","60+")))</f>
        <v>30-45</v>
      </c>
      <c r="Q839" t="str">
        <f>IF(tblbuyers[[#This Row],[Income]]&lt;30000,"Low",IF(tblbuyers[[#This Row],[Income]]&lt;=70000,"Medium","High"))</f>
        <v>Medium</v>
      </c>
      <c r="R839" s="7" t="str">
        <f>IF(OR(LOWER(TRIM(tblbuyers[[#This Row],[Purchased Bike]]))="yes",LOWER(TRIM(tblbuyers[[#This Row],[Purchased Bike]]))="y"),"Yes","No")</f>
        <v>No</v>
      </c>
    </row>
    <row r="840" spans="1:18"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c r="O840">
        <f>COUNTBLANK(tblbuyers[Income])</f>
        <v>0</v>
      </c>
      <c r="P840" t="str">
        <f>IF(tblbuyers[[#This Row],[Age]]&lt;30,"&lt;30",IF(tblbuyers[[#This Row],[Age]]&lt;=45,"30-45",IF(tblbuyers[[#This Row],[Age]]&lt;=60,"46-60","60+")))</f>
        <v>30-45</v>
      </c>
      <c r="Q840" t="str">
        <f>IF(tblbuyers[[#This Row],[Income]]&lt;30000,"Low",IF(tblbuyers[[#This Row],[Income]]&lt;=70000,"Medium","High"))</f>
        <v>High</v>
      </c>
      <c r="R840" s="7" t="str">
        <f>IF(OR(LOWER(TRIM(tblbuyers[[#This Row],[Purchased Bike]]))="yes",LOWER(TRIM(tblbuyers[[#This Row],[Purchased Bike]]))="y"),"Yes","No")</f>
        <v>Yes</v>
      </c>
    </row>
    <row r="841" spans="1:18"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c r="O841">
        <f>COUNTBLANK(tblbuyers[Income])</f>
        <v>0</v>
      </c>
      <c r="P841" t="str">
        <f>IF(tblbuyers[[#This Row],[Age]]&lt;30,"&lt;30",IF(tblbuyers[[#This Row],[Age]]&lt;=45,"30-45",IF(tblbuyers[[#This Row],[Age]]&lt;=60,"46-60","60+")))</f>
        <v>30-45</v>
      </c>
      <c r="Q841" t="str">
        <f>IF(tblbuyers[[#This Row],[Income]]&lt;30000,"Low",IF(tblbuyers[[#This Row],[Income]]&lt;=70000,"Medium","High"))</f>
        <v>High</v>
      </c>
      <c r="R841" s="7" t="str">
        <f>IF(OR(LOWER(TRIM(tblbuyers[[#This Row],[Purchased Bike]]))="yes",LOWER(TRIM(tblbuyers[[#This Row],[Purchased Bike]]))="y"),"Yes","No")</f>
        <v>Yes</v>
      </c>
    </row>
    <row r="842" spans="1:18" x14ac:dyDescent="0.25">
      <c r="A842">
        <v>11233</v>
      </c>
      <c r="B842" t="s">
        <v>36</v>
      </c>
      <c r="C842" t="s">
        <v>39</v>
      </c>
      <c r="D842" s="3">
        <v>70000</v>
      </c>
      <c r="E842">
        <v>4</v>
      </c>
      <c r="F842" t="s">
        <v>19</v>
      </c>
      <c r="G842" t="s">
        <v>21</v>
      </c>
      <c r="H842" t="s">
        <v>15</v>
      </c>
      <c r="I842">
        <v>2</v>
      </c>
      <c r="J842" t="s">
        <v>30</v>
      </c>
      <c r="K842" t="s">
        <v>32</v>
      </c>
      <c r="L842">
        <v>53</v>
      </c>
      <c r="M842" t="str">
        <f t="shared" si="13"/>
        <v>Middle Age</v>
      </c>
      <c r="N842" t="s">
        <v>18</v>
      </c>
      <c r="O842">
        <f>COUNTBLANK(tblbuyers[Income])</f>
        <v>0</v>
      </c>
      <c r="P842" t="str">
        <f>IF(tblbuyers[[#This Row],[Age]]&lt;30,"&lt;30",IF(tblbuyers[[#This Row],[Age]]&lt;=45,"30-45",IF(tblbuyers[[#This Row],[Age]]&lt;=60,"46-60","60+")))</f>
        <v>46-60</v>
      </c>
      <c r="Q842" t="str">
        <f>IF(tblbuyers[[#This Row],[Income]]&lt;30000,"Low",IF(tblbuyers[[#This Row],[Income]]&lt;=70000,"Medium","High"))</f>
        <v>Medium</v>
      </c>
      <c r="R842" s="7" t="str">
        <f>IF(OR(LOWER(TRIM(tblbuyers[[#This Row],[Purchased Bike]]))="yes",LOWER(TRIM(tblbuyers[[#This Row],[Purchased Bike]]))="y"),"Yes","No")</f>
        <v>No</v>
      </c>
    </row>
    <row r="843" spans="1:18"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c r="O843">
        <f>COUNTBLANK(tblbuyers[Income])</f>
        <v>0</v>
      </c>
      <c r="P843" t="str">
        <f>IF(tblbuyers[[#This Row],[Age]]&lt;30,"&lt;30",IF(tblbuyers[[#This Row],[Age]]&lt;=45,"30-45",IF(tblbuyers[[#This Row],[Age]]&lt;=60,"46-60","60+")))</f>
        <v>60+</v>
      </c>
      <c r="Q843" t="str">
        <f>IF(tblbuyers[[#This Row],[Income]]&lt;30000,"Low",IF(tblbuyers[[#This Row],[Income]]&lt;=70000,"Medium","High"))</f>
        <v>High</v>
      </c>
      <c r="R843" s="7" t="str">
        <f>IF(OR(LOWER(TRIM(tblbuyers[[#This Row],[Purchased Bike]]))="yes",LOWER(TRIM(tblbuyers[[#This Row],[Purchased Bike]]))="y"),"Yes","No")</f>
        <v>No</v>
      </c>
    </row>
    <row r="844" spans="1:18"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c r="O844">
        <f>COUNTBLANK(tblbuyers[Income])</f>
        <v>0</v>
      </c>
      <c r="P844" t="str">
        <f>IF(tblbuyers[[#This Row],[Age]]&lt;30,"&lt;30",IF(tblbuyers[[#This Row],[Age]]&lt;=45,"30-45",IF(tblbuyers[[#This Row],[Age]]&lt;=60,"46-60","60+")))</f>
        <v>30-45</v>
      </c>
      <c r="Q844" t="str">
        <f>IF(tblbuyers[[#This Row],[Income]]&lt;30000,"Low",IF(tblbuyers[[#This Row],[Income]]&lt;=70000,"Medium","High"))</f>
        <v>Medium</v>
      </c>
      <c r="R844" s="7" t="str">
        <f>IF(OR(LOWER(TRIM(tblbuyers[[#This Row],[Purchased Bike]]))="yes",LOWER(TRIM(tblbuyers[[#This Row],[Purchased Bike]]))="y"),"Yes","No")</f>
        <v>Yes</v>
      </c>
    </row>
    <row r="845" spans="1:18"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c r="O845">
        <f>COUNTBLANK(tblbuyers[Income])</f>
        <v>0</v>
      </c>
      <c r="P845" t="str">
        <f>IF(tblbuyers[[#This Row],[Age]]&lt;30,"&lt;30",IF(tblbuyers[[#This Row],[Age]]&lt;=45,"30-45",IF(tblbuyers[[#This Row],[Age]]&lt;=60,"46-60","60+")))</f>
        <v>46-60</v>
      </c>
      <c r="Q845" t="str">
        <f>IF(tblbuyers[[#This Row],[Income]]&lt;30000,"Low",IF(tblbuyers[[#This Row],[Income]]&lt;=70000,"Medium","High"))</f>
        <v>High</v>
      </c>
      <c r="R845" s="7" t="str">
        <f>IF(OR(LOWER(TRIM(tblbuyers[[#This Row],[Purchased Bike]]))="yes",LOWER(TRIM(tblbuyers[[#This Row],[Purchased Bike]]))="y"),"Yes","No")</f>
        <v>No</v>
      </c>
    </row>
    <row r="846" spans="1:18"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c r="O846">
        <f>COUNTBLANK(tblbuyers[Income])</f>
        <v>0</v>
      </c>
      <c r="P846" t="str">
        <f>IF(tblbuyers[[#This Row],[Age]]&lt;30,"&lt;30",IF(tblbuyers[[#This Row],[Age]]&lt;=45,"30-45",IF(tblbuyers[[#This Row],[Age]]&lt;=60,"46-60","60+")))</f>
        <v>46-60</v>
      </c>
      <c r="Q846" t="str">
        <f>IF(tblbuyers[[#This Row],[Income]]&lt;30000,"Low",IF(tblbuyers[[#This Row],[Income]]&lt;=70000,"Medium","High"))</f>
        <v>Medium</v>
      </c>
      <c r="R846" s="7" t="str">
        <f>IF(OR(LOWER(TRIM(tblbuyers[[#This Row],[Purchased Bike]]))="yes",LOWER(TRIM(tblbuyers[[#This Row],[Purchased Bike]]))="y"),"Yes","No")</f>
        <v>No</v>
      </c>
    </row>
    <row r="847" spans="1:18"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c r="O847">
        <f>COUNTBLANK(tblbuyers[Income])</f>
        <v>0</v>
      </c>
      <c r="P847" t="str">
        <f>IF(tblbuyers[[#This Row],[Age]]&lt;30,"&lt;30",IF(tblbuyers[[#This Row],[Age]]&lt;=45,"30-45",IF(tblbuyers[[#This Row],[Age]]&lt;=60,"46-60","60+")))</f>
        <v>46-60</v>
      </c>
      <c r="Q847" t="str">
        <f>IF(tblbuyers[[#This Row],[Income]]&lt;30000,"Low",IF(tblbuyers[[#This Row],[Income]]&lt;=70000,"Medium","High"))</f>
        <v>Low</v>
      </c>
      <c r="R847" s="7" t="str">
        <f>IF(OR(LOWER(TRIM(tblbuyers[[#This Row],[Purchased Bike]]))="yes",LOWER(TRIM(tblbuyers[[#This Row],[Purchased Bike]]))="y"),"Yes","No")</f>
        <v>No</v>
      </c>
    </row>
    <row r="848" spans="1:18"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c r="O848">
        <f>COUNTBLANK(tblbuyers[Income])</f>
        <v>0</v>
      </c>
      <c r="P848" t="str">
        <f>IF(tblbuyers[[#This Row],[Age]]&lt;30,"&lt;30",IF(tblbuyers[[#This Row],[Age]]&lt;=45,"30-45",IF(tblbuyers[[#This Row],[Age]]&lt;=60,"46-60","60+")))</f>
        <v>46-60</v>
      </c>
      <c r="Q848" t="str">
        <f>IF(tblbuyers[[#This Row],[Income]]&lt;30000,"Low",IF(tblbuyers[[#This Row],[Income]]&lt;=70000,"Medium","High"))</f>
        <v>Medium</v>
      </c>
      <c r="R848" s="7" t="str">
        <f>IF(OR(LOWER(TRIM(tblbuyers[[#This Row],[Purchased Bike]]))="yes",LOWER(TRIM(tblbuyers[[#This Row],[Purchased Bike]]))="y"),"Yes","No")</f>
        <v>No</v>
      </c>
    </row>
    <row r="849" spans="1:18"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c r="O849">
        <f>COUNTBLANK(tblbuyers[Income])</f>
        <v>0</v>
      </c>
      <c r="P849" t="str">
        <f>IF(tblbuyers[[#This Row],[Age]]&lt;30,"&lt;30",IF(tblbuyers[[#This Row],[Age]]&lt;=45,"30-45",IF(tblbuyers[[#This Row],[Age]]&lt;=60,"46-60","60+")))</f>
        <v>&lt;30</v>
      </c>
      <c r="Q849" t="str">
        <f>IF(tblbuyers[[#This Row],[Income]]&lt;30000,"Low",IF(tblbuyers[[#This Row],[Income]]&lt;=70000,"Medium","High"))</f>
        <v>Medium</v>
      </c>
      <c r="R849" s="7" t="str">
        <f>IF(OR(LOWER(TRIM(tblbuyers[[#This Row],[Purchased Bike]]))="yes",LOWER(TRIM(tblbuyers[[#This Row],[Purchased Bike]]))="y"),"Yes","No")</f>
        <v>No</v>
      </c>
    </row>
    <row r="850" spans="1:18"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c r="O850">
        <f>COUNTBLANK(tblbuyers[Income])</f>
        <v>0</v>
      </c>
      <c r="P850" t="str">
        <f>IF(tblbuyers[[#This Row],[Age]]&lt;30,"&lt;30",IF(tblbuyers[[#This Row],[Age]]&lt;=45,"30-45",IF(tblbuyers[[#This Row],[Age]]&lt;=60,"46-60","60+")))</f>
        <v>30-45</v>
      </c>
      <c r="Q850" t="str">
        <f>IF(tblbuyers[[#This Row],[Income]]&lt;30000,"Low",IF(tblbuyers[[#This Row],[Income]]&lt;=70000,"Medium","High"))</f>
        <v>High</v>
      </c>
      <c r="R850" s="7" t="str">
        <f>IF(OR(LOWER(TRIM(tblbuyers[[#This Row],[Purchased Bike]]))="yes",LOWER(TRIM(tblbuyers[[#This Row],[Purchased Bike]]))="y"),"Yes","No")</f>
        <v>Yes</v>
      </c>
    </row>
    <row r="851" spans="1:18"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c r="O851">
        <f>COUNTBLANK(tblbuyers[Income])</f>
        <v>0</v>
      </c>
      <c r="P851" t="str">
        <f>IF(tblbuyers[[#This Row],[Age]]&lt;30,"&lt;30",IF(tblbuyers[[#This Row],[Age]]&lt;=45,"30-45",IF(tblbuyers[[#This Row],[Age]]&lt;=60,"46-60","60+")))</f>
        <v>46-60</v>
      </c>
      <c r="Q851" t="str">
        <f>IF(tblbuyers[[#This Row],[Income]]&lt;30000,"Low",IF(tblbuyers[[#This Row],[Income]]&lt;=70000,"Medium","High"))</f>
        <v>Medium</v>
      </c>
      <c r="R851" s="7" t="str">
        <f>IF(OR(LOWER(TRIM(tblbuyers[[#This Row],[Purchased Bike]]))="yes",LOWER(TRIM(tblbuyers[[#This Row],[Purchased Bike]]))="y"),"Yes","No")</f>
        <v>No</v>
      </c>
    </row>
    <row r="852" spans="1:18"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c r="O852">
        <f>COUNTBLANK(tblbuyers[Income])</f>
        <v>0</v>
      </c>
      <c r="P852" t="str">
        <f>IF(tblbuyers[[#This Row],[Age]]&lt;30,"&lt;30",IF(tblbuyers[[#This Row],[Age]]&lt;=45,"30-45",IF(tblbuyers[[#This Row],[Age]]&lt;=60,"46-60","60+")))</f>
        <v>60+</v>
      </c>
      <c r="Q852" t="str">
        <f>IF(tblbuyers[[#This Row],[Income]]&lt;30000,"Low",IF(tblbuyers[[#This Row],[Income]]&lt;=70000,"Medium","High"))</f>
        <v>High</v>
      </c>
      <c r="R852" s="7" t="str">
        <f>IF(OR(LOWER(TRIM(tblbuyers[[#This Row],[Purchased Bike]]))="yes",LOWER(TRIM(tblbuyers[[#This Row],[Purchased Bike]]))="y"),"Yes","No")</f>
        <v>No</v>
      </c>
    </row>
    <row r="853" spans="1:18"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c r="O853">
        <f>COUNTBLANK(tblbuyers[Income])</f>
        <v>0</v>
      </c>
      <c r="P853" t="str">
        <f>IF(tblbuyers[[#This Row],[Age]]&lt;30,"&lt;30",IF(tblbuyers[[#This Row],[Age]]&lt;=45,"30-45",IF(tblbuyers[[#This Row],[Age]]&lt;=60,"46-60","60+")))</f>
        <v>30-45</v>
      </c>
      <c r="Q853" t="str">
        <f>IF(tblbuyers[[#This Row],[Income]]&lt;30000,"Low",IF(tblbuyers[[#This Row],[Income]]&lt;=70000,"Medium","High"))</f>
        <v>Medium</v>
      </c>
      <c r="R853" s="7" t="str">
        <f>IF(OR(LOWER(TRIM(tblbuyers[[#This Row],[Purchased Bike]]))="yes",LOWER(TRIM(tblbuyers[[#This Row],[Purchased Bike]]))="y"),"Yes","No")</f>
        <v>Yes</v>
      </c>
    </row>
    <row r="854" spans="1:18"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c r="O854">
        <f>COUNTBLANK(tblbuyers[Income])</f>
        <v>0</v>
      </c>
      <c r="P854" t="str">
        <f>IF(tblbuyers[[#This Row],[Age]]&lt;30,"&lt;30",IF(tblbuyers[[#This Row],[Age]]&lt;=45,"30-45",IF(tblbuyers[[#This Row],[Age]]&lt;=60,"46-60","60+")))</f>
        <v>30-45</v>
      </c>
      <c r="Q854" t="str">
        <f>IF(tblbuyers[[#This Row],[Income]]&lt;30000,"Low",IF(tblbuyers[[#This Row],[Income]]&lt;=70000,"Medium","High"))</f>
        <v>Medium</v>
      </c>
      <c r="R854" s="7" t="str">
        <f>IF(OR(LOWER(TRIM(tblbuyers[[#This Row],[Purchased Bike]]))="yes",LOWER(TRIM(tblbuyers[[#This Row],[Purchased Bike]]))="y"),"Yes","No")</f>
        <v>Yes</v>
      </c>
    </row>
    <row r="855" spans="1:18"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c r="O855">
        <f>COUNTBLANK(tblbuyers[Income])</f>
        <v>0</v>
      </c>
      <c r="P855" t="str">
        <f>IF(tblbuyers[[#This Row],[Age]]&lt;30,"&lt;30",IF(tblbuyers[[#This Row],[Age]]&lt;=45,"30-45",IF(tblbuyers[[#This Row],[Age]]&lt;=60,"46-60","60+")))</f>
        <v>30-45</v>
      </c>
      <c r="Q855" t="str">
        <f>IF(tblbuyers[[#This Row],[Income]]&lt;30000,"Low",IF(tblbuyers[[#This Row],[Income]]&lt;=70000,"Medium","High"))</f>
        <v>Medium</v>
      </c>
      <c r="R855" s="7" t="str">
        <f>IF(OR(LOWER(TRIM(tblbuyers[[#This Row],[Purchased Bike]]))="yes",LOWER(TRIM(tblbuyers[[#This Row],[Purchased Bike]]))="y"),"Yes","No")</f>
        <v>Yes</v>
      </c>
    </row>
    <row r="856" spans="1:18"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c r="O856">
        <f>COUNTBLANK(tblbuyers[Income])</f>
        <v>0</v>
      </c>
      <c r="P856" t="str">
        <f>IF(tblbuyers[[#This Row],[Age]]&lt;30,"&lt;30",IF(tblbuyers[[#This Row],[Age]]&lt;=45,"30-45",IF(tblbuyers[[#This Row],[Age]]&lt;=60,"46-60","60+")))</f>
        <v>30-45</v>
      </c>
      <c r="Q856" t="str">
        <f>IF(tblbuyers[[#This Row],[Income]]&lt;30000,"Low",IF(tblbuyers[[#This Row],[Income]]&lt;=70000,"Medium","High"))</f>
        <v>Medium</v>
      </c>
      <c r="R856" s="7" t="str">
        <f>IF(OR(LOWER(TRIM(tblbuyers[[#This Row],[Purchased Bike]]))="yes",LOWER(TRIM(tblbuyers[[#This Row],[Purchased Bike]]))="y"),"Yes","No")</f>
        <v>No</v>
      </c>
    </row>
    <row r="857" spans="1:18"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c r="O857">
        <f>COUNTBLANK(tblbuyers[Income])</f>
        <v>0</v>
      </c>
      <c r="P857" t="str">
        <f>IF(tblbuyers[[#This Row],[Age]]&lt;30,"&lt;30",IF(tblbuyers[[#This Row],[Age]]&lt;=45,"30-45",IF(tblbuyers[[#This Row],[Age]]&lt;=60,"46-60","60+")))</f>
        <v>30-45</v>
      </c>
      <c r="Q857" t="str">
        <f>IF(tblbuyers[[#This Row],[Income]]&lt;30000,"Low",IF(tblbuyers[[#This Row],[Income]]&lt;=70000,"Medium","High"))</f>
        <v>Medium</v>
      </c>
      <c r="R857" s="7" t="str">
        <f>IF(OR(LOWER(TRIM(tblbuyers[[#This Row],[Purchased Bike]]))="yes",LOWER(TRIM(tblbuyers[[#This Row],[Purchased Bike]]))="y"),"Yes","No")</f>
        <v>No</v>
      </c>
    </row>
    <row r="858" spans="1:18"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c r="O858">
        <f>COUNTBLANK(tblbuyers[Income])</f>
        <v>0</v>
      </c>
      <c r="P858" t="str">
        <f>IF(tblbuyers[[#This Row],[Age]]&lt;30,"&lt;30",IF(tblbuyers[[#This Row],[Age]]&lt;=45,"30-45",IF(tblbuyers[[#This Row],[Age]]&lt;=60,"46-60","60+")))</f>
        <v>&lt;30</v>
      </c>
      <c r="Q858" t="str">
        <f>IF(tblbuyers[[#This Row],[Income]]&lt;30000,"Low",IF(tblbuyers[[#This Row],[Income]]&lt;=70000,"Medium","High"))</f>
        <v>Medium</v>
      </c>
      <c r="R858" s="7" t="str">
        <f>IF(OR(LOWER(TRIM(tblbuyers[[#This Row],[Purchased Bike]]))="yes",LOWER(TRIM(tblbuyers[[#This Row],[Purchased Bike]]))="y"),"Yes","No")</f>
        <v>No</v>
      </c>
    </row>
    <row r="859" spans="1:18"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c r="O859">
        <f>COUNTBLANK(tblbuyers[Income])</f>
        <v>0</v>
      </c>
      <c r="P859" t="str">
        <f>IF(tblbuyers[[#This Row],[Age]]&lt;30,"&lt;30",IF(tblbuyers[[#This Row],[Age]]&lt;=45,"30-45",IF(tblbuyers[[#This Row],[Age]]&lt;=60,"46-60","60+")))</f>
        <v>46-60</v>
      </c>
      <c r="Q859" t="str">
        <f>IF(tblbuyers[[#This Row],[Income]]&lt;30000,"Low",IF(tblbuyers[[#This Row],[Income]]&lt;=70000,"Medium","High"))</f>
        <v>Medium</v>
      </c>
      <c r="R859" s="7" t="str">
        <f>IF(OR(LOWER(TRIM(tblbuyers[[#This Row],[Purchased Bike]]))="yes",LOWER(TRIM(tblbuyers[[#This Row],[Purchased Bike]]))="y"),"Yes","No")</f>
        <v>Yes</v>
      </c>
    </row>
    <row r="860" spans="1:18"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c r="O860">
        <f>COUNTBLANK(tblbuyers[Income])</f>
        <v>0</v>
      </c>
      <c r="P860" t="str">
        <f>IF(tblbuyers[[#This Row],[Age]]&lt;30,"&lt;30",IF(tblbuyers[[#This Row],[Age]]&lt;=45,"30-45",IF(tblbuyers[[#This Row],[Age]]&lt;=60,"46-60","60+")))</f>
        <v>30-45</v>
      </c>
      <c r="Q860" t="str">
        <f>IF(tblbuyers[[#This Row],[Income]]&lt;30000,"Low",IF(tblbuyers[[#This Row],[Income]]&lt;=70000,"Medium","High"))</f>
        <v>Medium</v>
      </c>
      <c r="R860" s="7" t="str">
        <f>IF(OR(LOWER(TRIM(tblbuyers[[#This Row],[Purchased Bike]]))="yes",LOWER(TRIM(tblbuyers[[#This Row],[Purchased Bike]]))="y"),"Yes","No")</f>
        <v>No</v>
      </c>
    </row>
    <row r="861" spans="1:18"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c r="O861">
        <f>COUNTBLANK(tblbuyers[Income])</f>
        <v>0</v>
      </c>
      <c r="P861" t="str">
        <f>IF(tblbuyers[[#This Row],[Age]]&lt;30,"&lt;30",IF(tblbuyers[[#This Row],[Age]]&lt;=45,"30-45",IF(tblbuyers[[#This Row],[Age]]&lt;=60,"46-60","60+")))</f>
        <v>46-60</v>
      </c>
      <c r="Q861" t="str">
        <f>IF(tblbuyers[[#This Row],[Income]]&lt;30000,"Low",IF(tblbuyers[[#This Row],[Income]]&lt;=70000,"Medium","High"))</f>
        <v>Medium</v>
      </c>
      <c r="R861" s="7" t="str">
        <f>IF(OR(LOWER(TRIM(tblbuyers[[#This Row],[Purchased Bike]]))="yes",LOWER(TRIM(tblbuyers[[#This Row],[Purchased Bike]]))="y"),"Yes","No")</f>
        <v>No</v>
      </c>
    </row>
    <row r="862" spans="1:18"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c r="O862">
        <f>COUNTBLANK(tblbuyers[Income])</f>
        <v>0</v>
      </c>
      <c r="P862" t="str">
        <f>IF(tblbuyers[[#This Row],[Age]]&lt;30,"&lt;30",IF(tblbuyers[[#This Row],[Age]]&lt;=45,"30-45",IF(tblbuyers[[#This Row],[Age]]&lt;=60,"46-60","60+")))</f>
        <v>30-45</v>
      </c>
      <c r="Q862" t="str">
        <f>IF(tblbuyers[[#This Row],[Income]]&lt;30000,"Low",IF(tblbuyers[[#This Row],[Income]]&lt;=70000,"Medium","High"))</f>
        <v>Medium</v>
      </c>
      <c r="R862" s="7" t="str">
        <f>IF(OR(LOWER(TRIM(tblbuyers[[#This Row],[Purchased Bike]]))="yes",LOWER(TRIM(tblbuyers[[#This Row],[Purchased Bike]]))="y"),"Yes","No")</f>
        <v>No</v>
      </c>
    </row>
    <row r="863" spans="1:18"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c r="O863">
        <f>COUNTBLANK(tblbuyers[Income])</f>
        <v>0</v>
      </c>
      <c r="P863" t="str">
        <f>IF(tblbuyers[[#This Row],[Age]]&lt;30,"&lt;30",IF(tblbuyers[[#This Row],[Age]]&lt;=45,"30-45",IF(tblbuyers[[#This Row],[Age]]&lt;=60,"46-60","60+")))</f>
        <v>46-60</v>
      </c>
      <c r="Q863" t="str">
        <f>IF(tblbuyers[[#This Row],[Income]]&lt;30000,"Low",IF(tblbuyers[[#This Row],[Income]]&lt;=70000,"Medium","High"))</f>
        <v>Low</v>
      </c>
      <c r="R863" s="7" t="str">
        <f>IF(OR(LOWER(TRIM(tblbuyers[[#This Row],[Purchased Bike]]))="yes",LOWER(TRIM(tblbuyers[[#This Row],[Purchased Bike]]))="y"),"Yes","No")</f>
        <v>Yes</v>
      </c>
    </row>
    <row r="864" spans="1:18"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c r="O864">
        <f>COUNTBLANK(tblbuyers[Income])</f>
        <v>0</v>
      </c>
      <c r="P864" t="str">
        <f>IF(tblbuyers[[#This Row],[Age]]&lt;30,"&lt;30",IF(tblbuyers[[#This Row],[Age]]&lt;=45,"30-45",IF(tblbuyers[[#This Row],[Age]]&lt;=60,"46-60","60+")))</f>
        <v>30-45</v>
      </c>
      <c r="Q864" t="str">
        <f>IF(tblbuyers[[#This Row],[Income]]&lt;30000,"Low",IF(tblbuyers[[#This Row],[Income]]&lt;=70000,"Medium","High"))</f>
        <v>Medium</v>
      </c>
      <c r="R864" s="7" t="str">
        <f>IF(OR(LOWER(TRIM(tblbuyers[[#This Row],[Purchased Bike]]))="yes",LOWER(TRIM(tblbuyers[[#This Row],[Purchased Bike]]))="y"),"Yes","No")</f>
        <v>Yes</v>
      </c>
    </row>
    <row r="865" spans="1:18"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c r="O865">
        <f>COUNTBLANK(tblbuyers[Income])</f>
        <v>0</v>
      </c>
      <c r="P865" t="str">
        <f>IF(tblbuyers[[#This Row],[Age]]&lt;30,"&lt;30",IF(tblbuyers[[#This Row],[Age]]&lt;=45,"30-45",IF(tblbuyers[[#This Row],[Age]]&lt;=60,"46-60","60+")))</f>
        <v>30-45</v>
      </c>
      <c r="Q865" t="str">
        <f>IF(tblbuyers[[#This Row],[Income]]&lt;30000,"Low",IF(tblbuyers[[#This Row],[Income]]&lt;=70000,"Medium","High"))</f>
        <v>High</v>
      </c>
      <c r="R865" s="7" t="str">
        <f>IF(OR(LOWER(TRIM(tblbuyers[[#This Row],[Purchased Bike]]))="yes",LOWER(TRIM(tblbuyers[[#This Row],[Purchased Bike]]))="y"),"Yes","No")</f>
        <v>Yes</v>
      </c>
    </row>
    <row r="866" spans="1:18"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c r="O866">
        <f>COUNTBLANK(tblbuyers[Income])</f>
        <v>0</v>
      </c>
      <c r="P866" t="str">
        <f>IF(tblbuyers[[#This Row],[Age]]&lt;30,"&lt;30",IF(tblbuyers[[#This Row],[Age]]&lt;=45,"30-45",IF(tblbuyers[[#This Row],[Age]]&lt;=60,"46-60","60+")))</f>
        <v>30-45</v>
      </c>
      <c r="Q866" t="str">
        <f>IF(tblbuyers[[#This Row],[Income]]&lt;30000,"Low",IF(tblbuyers[[#This Row],[Income]]&lt;=70000,"Medium","High"))</f>
        <v>Medium</v>
      </c>
      <c r="R866" s="7" t="str">
        <f>IF(OR(LOWER(TRIM(tblbuyers[[#This Row],[Purchased Bike]]))="yes",LOWER(TRIM(tblbuyers[[#This Row],[Purchased Bike]]))="y"),"Yes","No")</f>
        <v>No</v>
      </c>
    </row>
    <row r="867" spans="1:18"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c r="O867">
        <f>COUNTBLANK(tblbuyers[Income])</f>
        <v>0</v>
      </c>
      <c r="P867" t="str">
        <f>IF(tblbuyers[[#This Row],[Age]]&lt;30,"&lt;30",IF(tblbuyers[[#This Row],[Age]]&lt;=45,"30-45",IF(tblbuyers[[#This Row],[Age]]&lt;=60,"46-60","60+")))</f>
        <v>30-45</v>
      </c>
      <c r="Q867" t="str">
        <f>IF(tblbuyers[[#This Row],[Income]]&lt;30000,"Low",IF(tblbuyers[[#This Row],[Income]]&lt;=70000,"Medium","High"))</f>
        <v>High</v>
      </c>
      <c r="R867" s="7" t="str">
        <f>IF(OR(LOWER(TRIM(tblbuyers[[#This Row],[Purchased Bike]]))="yes",LOWER(TRIM(tblbuyers[[#This Row],[Purchased Bike]]))="y"),"Yes","No")</f>
        <v>Yes</v>
      </c>
    </row>
    <row r="868" spans="1:18"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c r="O868">
        <f>COUNTBLANK(tblbuyers[Income])</f>
        <v>0</v>
      </c>
      <c r="P868" t="str">
        <f>IF(tblbuyers[[#This Row],[Age]]&lt;30,"&lt;30",IF(tblbuyers[[#This Row],[Age]]&lt;=45,"30-45",IF(tblbuyers[[#This Row],[Age]]&lt;=60,"46-60","60+")))</f>
        <v>46-60</v>
      </c>
      <c r="Q868" t="str">
        <f>IF(tblbuyers[[#This Row],[Income]]&lt;30000,"Low",IF(tblbuyers[[#This Row],[Income]]&lt;=70000,"Medium","High"))</f>
        <v>Medium</v>
      </c>
      <c r="R868" s="7" t="str">
        <f>IF(OR(LOWER(TRIM(tblbuyers[[#This Row],[Purchased Bike]]))="yes",LOWER(TRIM(tblbuyers[[#This Row],[Purchased Bike]]))="y"),"Yes","No")</f>
        <v>No</v>
      </c>
    </row>
    <row r="869" spans="1:18"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c r="O869">
        <f>COUNTBLANK(tblbuyers[Income])</f>
        <v>0</v>
      </c>
      <c r="P869" t="str">
        <f>IF(tblbuyers[[#This Row],[Age]]&lt;30,"&lt;30",IF(tblbuyers[[#This Row],[Age]]&lt;=45,"30-45",IF(tblbuyers[[#This Row],[Age]]&lt;=60,"46-60","60+")))</f>
        <v>46-60</v>
      </c>
      <c r="Q869" t="str">
        <f>IF(tblbuyers[[#This Row],[Income]]&lt;30000,"Low",IF(tblbuyers[[#This Row],[Income]]&lt;=70000,"Medium","High"))</f>
        <v>Medium</v>
      </c>
      <c r="R869" s="7" t="str">
        <f>IF(OR(LOWER(TRIM(tblbuyers[[#This Row],[Purchased Bike]]))="yes",LOWER(TRIM(tblbuyers[[#This Row],[Purchased Bike]]))="y"),"Yes","No")</f>
        <v>No</v>
      </c>
    </row>
    <row r="870" spans="1:18"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c r="O870">
        <f>COUNTBLANK(tblbuyers[Income])</f>
        <v>0</v>
      </c>
      <c r="P870" t="str">
        <f>IF(tblbuyers[[#This Row],[Age]]&lt;30,"&lt;30",IF(tblbuyers[[#This Row],[Age]]&lt;=45,"30-45",IF(tblbuyers[[#This Row],[Age]]&lt;=60,"46-60","60+")))</f>
        <v>46-60</v>
      </c>
      <c r="Q870" t="str">
        <f>IF(tblbuyers[[#This Row],[Income]]&lt;30000,"Low",IF(tblbuyers[[#This Row],[Income]]&lt;=70000,"Medium","High"))</f>
        <v>Medium</v>
      </c>
      <c r="R870" s="7" t="str">
        <f>IF(OR(LOWER(TRIM(tblbuyers[[#This Row],[Purchased Bike]]))="yes",LOWER(TRIM(tblbuyers[[#This Row],[Purchased Bike]]))="y"),"Yes","No")</f>
        <v>Yes</v>
      </c>
    </row>
    <row r="871" spans="1:18"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c r="O871">
        <f>COUNTBLANK(tblbuyers[Income])</f>
        <v>0</v>
      </c>
      <c r="P871" t="str">
        <f>IF(tblbuyers[[#This Row],[Age]]&lt;30,"&lt;30",IF(tblbuyers[[#This Row],[Age]]&lt;=45,"30-45",IF(tblbuyers[[#This Row],[Age]]&lt;=60,"46-60","60+")))</f>
        <v>30-45</v>
      </c>
      <c r="Q871" t="str">
        <f>IF(tblbuyers[[#This Row],[Income]]&lt;30000,"Low",IF(tblbuyers[[#This Row],[Income]]&lt;=70000,"Medium","High"))</f>
        <v>High</v>
      </c>
      <c r="R871" s="7" t="str">
        <f>IF(OR(LOWER(TRIM(tblbuyers[[#This Row],[Purchased Bike]]))="yes",LOWER(TRIM(tblbuyers[[#This Row],[Purchased Bike]]))="y"),"Yes","No")</f>
        <v>No</v>
      </c>
    </row>
    <row r="872" spans="1:18"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c r="O872">
        <f>COUNTBLANK(tblbuyers[Income])</f>
        <v>0</v>
      </c>
      <c r="P872" t="str">
        <f>IF(tblbuyers[[#This Row],[Age]]&lt;30,"&lt;30",IF(tblbuyers[[#This Row],[Age]]&lt;=45,"30-45",IF(tblbuyers[[#This Row],[Age]]&lt;=60,"46-60","60+")))</f>
        <v>46-60</v>
      </c>
      <c r="Q872" t="str">
        <f>IF(tblbuyers[[#This Row],[Income]]&lt;30000,"Low",IF(tblbuyers[[#This Row],[Income]]&lt;=70000,"Medium","High"))</f>
        <v>Medium</v>
      </c>
      <c r="R872" s="7" t="str">
        <f>IF(OR(LOWER(TRIM(tblbuyers[[#This Row],[Purchased Bike]]))="yes",LOWER(TRIM(tblbuyers[[#This Row],[Purchased Bike]]))="y"),"Yes","No")</f>
        <v>No</v>
      </c>
    </row>
    <row r="873" spans="1:18"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c r="O873">
        <f>COUNTBLANK(tblbuyers[Income])</f>
        <v>0</v>
      </c>
      <c r="P873" t="str">
        <f>IF(tblbuyers[[#This Row],[Age]]&lt;30,"&lt;30",IF(tblbuyers[[#This Row],[Age]]&lt;=45,"30-45",IF(tblbuyers[[#This Row],[Age]]&lt;=60,"46-60","60+")))</f>
        <v>46-60</v>
      </c>
      <c r="Q873" t="str">
        <f>IF(tblbuyers[[#This Row],[Income]]&lt;30000,"Low",IF(tblbuyers[[#This Row],[Income]]&lt;=70000,"Medium","High"))</f>
        <v>Medium</v>
      </c>
      <c r="R873" s="7" t="str">
        <f>IF(OR(LOWER(TRIM(tblbuyers[[#This Row],[Purchased Bike]]))="yes",LOWER(TRIM(tblbuyers[[#This Row],[Purchased Bike]]))="y"),"Yes","No")</f>
        <v>No</v>
      </c>
    </row>
    <row r="874" spans="1:18"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c r="O874">
        <f>COUNTBLANK(tblbuyers[Income])</f>
        <v>0</v>
      </c>
      <c r="P874" t="str">
        <f>IF(tblbuyers[[#This Row],[Age]]&lt;30,"&lt;30",IF(tblbuyers[[#This Row],[Age]]&lt;=45,"30-45",IF(tblbuyers[[#This Row],[Age]]&lt;=60,"46-60","60+")))</f>
        <v>46-60</v>
      </c>
      <c r="Q874" t="str">
        <f>IF(tblbuyers[[#This Row],[Income]]&lt;30000,"Low",IF(tblbuyers[[#This Row],[Income]]&lt;=70000,"Medium","High"))</f>
        <v>Medium</v>
      </c>
      <c r="R874" s="7" t="str">
        <f>IF(OR(LOWER(TRIM(tblbuyers[[#This Row],[Purchased Bike]]))="yes",LOWER(TRIM(tblbuyers[[#This Row],[Purchased Bike]]))="y"),"Yes","No")</f>
        <v>Yes</v>
      </c>
    </row>
    <row r="875" spans="1:18"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c r="O875">
        <f>COUNTBLANK(tblbuyers[Income])</f>
        <v>0</v>
      </c>
      <c r="P875" t="str">
        <f>IF(tblbuyers[[#This Row],[Age]]&lt;30,"&lt;30",IF(tblbuyers[[#This Row],[Age]]&lt;=45,"30-45",IF(tblbuyers[[#This Row],[Age]]&lt;=60,"46-60","60+")))</f>
        <v>30-45</v>
      </c>
      <c r="Q875" t="str">
        <f>IF(tblbuyers[[#This Row],[Income]]&lt;30000,"Low",IF(tblbuyers[[#This Row],[Income]]&lt;=70000,"Medium","High"))</f>
        <v>Medium</v>
      </c>
      <c r="R875" s="7" t="str">
        <f>IF(OR(LOWER(TRIM(tblbuyers[[#This Row],[Purchased Bike]]))="yes",LOWER(TRIM(tblbuyers[[#This Row],[Purchased Bike]]))="y"),"Yes","No")</f>
        <v>No</v>
      </c>
    </row>
    <row r="876" spans="1:18"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c r="O876">
        <f>COUNTBLANK(tblbuyers[Income])</f>
        <v>0</v>
      </c>
      <c r="P876" t="str">
        <f>IF(tblbuyers[[#This Row],[Age]]&lt;30,"&lt;30",IF(tblbuyers[[#This Row],[Age]]&lt;=45,"30-45",IF(tblbuyers[[#This Row],[Age]]&lt;=60,"46-60","60+")))</f>
        <v>46-60</v>
      </c>
      <c r="Q876" t="str">
        <f>IF(tblbuyers[[#This Row],[Income]]&lt;30000,"Low",IF(tblbuyers[[#This Row],[Income]]&lt;=70000,"Medium","High"))</f>
        <v>Medium</v>
      </c>
      <c r="R876" s="7" t="str">
        <f>IF(OR(LOWER(TRIM(tblbuyers[[#This Row],[Purchased Bike]]))="yes",LOWER(TRIM(tblbuyers[[#This Row],[Purchased Bike]]))="y"),"Yes","No")</f>
        <v>Yes</v>
      </c>
    </row>
    <row r="877" spans="1:18"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c r="O877">
        <f>COUNTBLANK(tblbuyers[Income])</f>
        <v>0</v>
      </c>
      <c r="P877" t="str">
        <f>IF(tblbuyers[[#This Row],[Age]]&lt;30,"&lt;30",IF(tblbuyers[[#This Row],[Age]]&lt;=45,"30-45",IF(tblbuyers[[#This Row],[Age]]&lt;=60,"46-60","60+")))</f>
        <v>30-45</v>
      </c>
      <c r="Q877" t="str">
        <f>IF(tblbuyers[[#This Row],[Income]]&lt;30000,"Low",IF(tblbuyers[[#This Row],[Income]]&lt;=70000,"Medium","High"))</f>
        <v>Medium</v>
      </c>
      <c r="R877" s="7" t="str">
        <f>IF(OR(LOWER(TRIM(tblbuyers[[#This Row],[Purchased Bike]]))="yes",LOWER(TRIM(tblbuyers[[#This Row],[Purchased Bike]]))="y"),"Yes","No")</f>
        <v>Yes</v>
      </c>
    </row>
    <row r="878" spans="1:18"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c r="O878">
        <f>COUNTBLANK(tblbuyers[Income])</f>
        <v>0</v>
      </c>
      <c r="P878" t="str">
        <f>IF(tblbuyers[[#This Row],[Age]]&lt;30,"&lt;30",IF(tblbuyers[[#This Row],[Age]]&lt;=45,"30-45",IF(tblbuyers[[#This Row],[Age]]&lt;=60,"46-60","60+")))</f>
        <v>&lt;30</v>
      </c>
      <c r="Q878" t="str">
        <f>IF(tblbuyers[[#This Row],[Income]]&lt;30000,"Low",IF(tblbuyers[[#This Row],[Income]]&lt;=70000,"Medium","High"))</f>
        <v>Medium</v>
      </c>
      <c r="R878" s="7" t="str">
        <f>IF(OR(LOWER(TRIM(tblbuyers[[#This Row],[Purchased Bike]]))="yes",LOWER(TRIM(tblbuyers[[#This Row],[Purchased Bike]]))="y"),"Yes","No")</f>
        <v>No</v>
      </c>
    </row>
    <row r="879" spans="1:18"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c r="O879">
        <f>COUNTBLANK(tblbuyers[Income])</f>
        <v>0</v>
      </c>
      <c r="P879" t="str">
        <f>IF(tblbuyers[[#This Row],[Age]]&lt;30,"&lt;30",IF(tblbuyers[[#This Row],[Age]]&lt;=45,"30-45",IF(tblbuyers[[#This Row],[Age]]&lt;=60,"46-60","60+")))</f>
        <v>60+</v>
      </c>
      <c r="Q879" t="str">
        <f>IF(tblbuyers[[#This Row],[Income]]&lt;30000,"Low",IF(tblbuyers[[#This Row],[Income]]&lt;=70000,"Medium","High"))</f>
        <v>Medium</v>
      </c>
      <c r="R879" s="7" t="str">
        <f>IF(OR(LOWER(TRIM(tblbuyers[[#This Row],[Purchased Bike]]))="yes",LOWER(TRIM(tblbuyers[[#This Row],[Purchased Bike]]))="y"),"Yes","No")</f>
        <v>No</v>
      </c>
    </row>
    <row r="880" spans="1:18"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c r="O880">
        <f>COUNTBLANK(tblbuyers[Income])</f>
        <v>0</v>
      </c>
      <c r="P880" t="str">
        <f>IF(tblbuyers[[#This Row],[Age]]&lt;30,"&lt;30",IF(tblbuyers[[#This Row],[Age]]&lt;=45,"30-45",IF(tblbuyers[[#This Row],[Age]]&lt;=60,"46-60","60+")))</f>
        <v>60+</v>
      </c>
      <c r="Q880" t="str">
        <f>IF(tblbuyers[[#This Row],[Income]]&lt;30000,"Low",IF(tblbuyers[[#This Row],[Income]]&lt;=70000,"Medium","High"))</f>
        <v>Medium</v>
      </c>
      <c r="R880" s="7" t="str">
        <f>IF(OR(LOWER(TRIM(tblbuyers[[#This Row],[Purchased Bike]]))="yes",LOWER(TRIM(tblbuyers[[#This Row],[Purchased Bike]]))="y"),"Yes","No")</f>
        <v>No</v>
      </c>
    </row>
    <row r="881" spans="1:18"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c r="O881">
        <f>COUNTBLANK(tblbuyers[Income])</f>
        <v>0</v>
      </c>
      <c r="P881" t="str">
        <f>IF(tblbuyers[[#This Row],[Age]]&lt;30,"&lt;30",IF(tblbuyers[[#This Row],[Age]]&lt;=45,"30-45",IF(tblbuyers[[#This Row],[Age]]&lt;=60,"46-60","60+")))</f>
        <v>30-45</v>
      </c>
      <c r="Q881" t="str">
        <f>IF(tblbuyers[[#This Row],[Income]]&lt;30000,"Low",IF(tblbuyers[[#This Row],[Income]]&lt;=70000,"Medium","High"))</f>
        <v>High</v>
      </c>
      <c r="R881" s="7" t="str">
        <f>IF(OR(LOWER(TRIM(tblbuyers[[#This Row],[Purchased Bike]]))="yes",LOWER(TRIM(tblbuyers[[#This Row],[Purchased Bike]]))="y"),"Yes","No")</f>
        <v>No</v>
      </c>
    </row>
    <row r="882" spans="1:18"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c r="O882">
        <f>COUNTBLANK(tblbuyers[Income])</f>
        <v>0</v>
      </c>
      <c r="P882" t="str">
        <f>IF(tblbuyers[[#This Row],[Age]]&lt;30,"&lt;30",IF(tblbuyers[[#This Row],[Age]]&lt;=45,"30-45",IF(tblbuyers[[#This Row],[Age]]&lt;=60,"46-60","60+")))</f>
        <v>30-45</v>
      </c>
      <c r="Q882" t="str">
        <f>IF(tblbuyers[[#This Row],[Income]]&lt;30000,"Low",IF(tblbuyers[[#This Row],[Income]]&lt;=70000,"Medium","High"))</f>
        <v>High</v>
      </c>
      <c r="R882" s="7" t="str">
        <f>IF(OR(LOWER(TRIM(tblbuyers[[#This Row],[Purchased Bike]]))="yes",LOWER(TRIM(tblbuyers[[#This Row],[Purchased Bike]]))="y"),"Yes","No")</f>
        <v>Yes</v>
      </c>
    </row>
    <row r="883" spans="1:18"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c r="O883">
        <f>COUNTBLANK(tblbuyers[Income])</f>
        <v>0</v>
      </c>
      <c r="P883" t="str">
        <f>IF(tblbuyers[[#This Row],[Age]]&lt;30,"&lt;30",IF(tblbuyers[[#This Row],[Age]]&lt;=45,"30-45",IF(tblbuyers[[#This Row],[Age]]&lt;=60,"46-60","60+")))</f>
        <v>60+</v>
      </c>
      <c r="Q883" t="str">
        <f>IF(tblbuyers[[#This Row],[Income]]&lt;30000,"Low",IF(tblbuyers[[#This Row],[Income]]&lt;=70000,"Medium","High"))</f>
        <v>High</v>
      </c>
      <c r="R883" s="7" t="str">
        <f>IF(OR(LOWER(TRIM(tblbuyers[[#This Row],[Purchased Bike]]))="yes",LOWER(TRIM(tblbuyers[[#This Row],[Purchased Bike]]))="y"),"Yes","No")</f>
        <v>Yes</v>
      </c>
    </row>
    <row r="884" spans="1:18"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c r="O884">
        <f>COUNTBLANK(tblbuyers[Income])</f>
        <v>0</v>
      </c>
      <c r="P884" t="str">
        <f>IF(tblbuyers[[#This Row],[Age]]&lt;30,"&lt;30",IF(tblbuyers[[#This Row],[Age]]&lt;=45,"30-45",IF(tblbuyers[[#This Row],[Age]]&lt;=60,"46-60","60+")))</f>
        <v>30-45</v>
      </c>
      <c r="Q884" t="str">
        <f>IF(tblbuyers[[#This Row],[Income]]&lt;30000,"Low",IF(tblbuyers[[#This Row],[Income]]&lt;=70000,"Medium","High"))</f>
        <v>Medium</v>
      </c>
      <c r="R884" s="7" t="str">
        <f>IF(OR(LOWER(TRIM(tblbuyers[[#This Row],[Purchased Bike]]))="yes",LOWER(TRIM(tblbuyers[[#This Row],[Purchased Bike]]))="y"),"Yes","No")</f>
        <v>No</v>
      </c>
    </row>
    <row r="885" spans="1:18"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c r="O885">
        <f>COUNTBLANK(tblbuyers[Income])</f>
        <v>0</v>
      </c>
      <c r="P885" t="str">
        <f>IF(tblbuyers[[#This Row],[Age]]&lt;30,"&lt;30",IF(tblbuyers[[#This Row],[Age]]&lt;=45,"30-45",IF(tblbuyers[[#This Row],[Age]]&lt;=60,"46-60","60+")))</f>
        <v>46-60</v>
      </c>
      <c r="Q885" t="str">
        <f>IF(tblbuyers[[#This Row],[Income]]&lt;30000,"Low",IF(tblbuyers[[#This Row],[Income]]&lt;=70000,"Medium","High"))</f>
        <v>Medium</v>
      </c>
      <c r="R885" s="7" t="str">
        <f>IF(OR(LOWER(TRIM(tblbuyers[[#This Row],[Purchased Bike]]))="yes",LOWER(TRIM(tblbuyers[[#This Row],[Purchased Bike]]))="y"),"Yes","No")</f>
        <v>Yes</v>
      </c>
    </row>
    <row r="886" spans="1:18"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c r="O886">
        <f>COUNTBLANK(tblbuyers[Income])</f>
        <v>0</v>
      </c>
      <c r="P886" t="str">
        <f>IF(tblbuyers[[#This Row],[Age]]&lt;30,"&lt;30",IF(tblbuyers[[#This Row],[Age]]&lt;=45,"30-45",IF(tblbuyers[[#This Row],[Age]]&lt;=60,"46-60","60+")))</f>
        <v>60+</v>
      </c>
      <c r="Q886" t="str">
        <f>IF(tblbuyers[[#This Row],[Income]]&lt;30000,"Low",IF(tblbuyers[[#This Row],[Income]]&lt;=70000,"Medium","High"))</f>
        <v>High</v>
      </c>
      <c r="R886" s="7" t="str">
        <f>IF(OR(LOWER(TRIM(tblbuyers[[#This Row],[Purchased Bike]]))="yes",LOWER(TRIM(tblbuyers[[#This Row],[Purchased Bike]]))="y"),"Yes","No")</f>
        <v>No</v>
      </c>
    </row>
    <row r="887" spans="1:18"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c r="O887">
        <f>COUNTBLANK(tblbuyers[Income])</f>
        <v>0</v>
      </c>
      <c r="P887" t="str">
        <f>IF(tblbuyers[[#This Row],[Age]]&lt;30,"&lt;30",IF(tblbuyers[[#This Row],[Age]]&lt;=45,"30-45",IF(tblbuyers[[#This Row],[Age]]&lt;=60,"46-60","60+")))</f>
        <v>46-60</v>
      </c>
      <c r="Q887" t="str">
        <f>IF(tblbuyers[[#This Row],[Income]]&lt;30000,"Low",IF(tblbuyers[[#This Row],[Income]]&lt;=70000,"Medium","High"))</f>
        <v>Low</v>
      </c>
      <c r="R887" s="7" t="str">
        <f>IF(OR(LOWER(TRIM(tblbuyers[[#This Row],[Purchased Bike]]))="yes",LOWER(TRIM(tblbuyers[[#This Row],[Purchased Bike]]))="y"),"Yes","No")</f>
        <v>No</v>
      </c>
    </row>
    <row r="888" spans="1:18"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c r="O888">
        <f>COUNTBLANK(tblbuyers[Income])</f>
        <v>0</v>
      </c>
      <c r="P888" t="str">
        <f>IF(tblbuyers[[#This Row],[Age]]&lt;30,"&lt;30",IF(tblbuyers[[#This Row],[Age]]&lt;=45,"30-45",IF(tblbuyers[[#This Row],[Age]]&lt;=60,"46-60","60+")))</f>
        <v>30-45</v>
      </c>
      <c r="Q888" t="str">
        <f>IF(tblbuyers[[#This Row],[Income]]&lt;30000,"Low",IF(tblbuyers[[#This Row],[Income]]&lt;=70000,"Medium","High"))</f>
        <v>Medium</v>
      </c>
      <c r="R888" s="7" t="str">
        <f>IF(OR(LOWER(TRIM(tblbuyers[[#This Row],[Purchased Bike]]))="yes",LOWER(TRIM(tblbuyers[[#This Row],[Purchased Bike]]))="y"),"Yes","No")</f>
        <v>No</v>
      </c>
    </row>
    <row r="889" spans="1:18"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c r="O889">
        <f>COUNTBLANK(tblbuyers[Income])</f>
        <v>0</v>
      </c>
      <c r="P889" t="str">
        <f>IF(tblbuyers[[#This Row],[Age]]&lt;30,"&lt;30",IF(tblbuyers[[#This Row],[Age]]&lt;=45,"30-45",IF(tblbuyers[[#This Row],[Age]]&lt;=60,"46-60","60+")))</f>
        <v>30-45</v>
      </c>
      <c r="Q889" t="str">
        <f>IF(tblbuyers[[#This Row],[Income]]&lt;30000,"Low",IF(tblbuyers[[#This Row],[Income]]&lt;=70000,"Medium","High"))</f>
        <v>Medium</v>
      </c>
      <c r="R889" s="7" t="str">
        <f>IF(OR(LOWER(TRIM(tblbuyers[[#This Row],[Purchased Bike]]))="yes",LOWER(TRIM(tblbuyers[[#This Row],[Purchased Bike]]))="y"),"Yes","No")</f>
        <v>No</v>
      </c>
    </row>
    <row r="890" spans="1:18"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c r="O890">
        <f>COUNTBLANK(tblbuyers[Income])</f>
        <v>0</v>
      </c>
      <c r="P890" t="str">
        <f>IF(tblbuyers[[#This Row],[Age]]&lt;30,"&lt;30",IF(tblbuyers[[#This Row],[Age]]&lt;=45,"30-45",IF(tblbuyers[[#This Row],[Age]]&lt;=60,"46-60","60+")))</f>
        <v>30-45</v>
      </c>
      <c r="Q890" t="str">
        <f>IF(tblbuyers[[#This Row],[Income]]&lt;30000,"Low",IF(tblbuyers[[#This Row],[Income]]&lt;=70000,"Medium","High"))</f>
        <v>Medium</v>
      </c>
      <c r="R890" s="7" t="str">
        <f>IF(OR(LOWER(TRIM(tblbuyers[[#This Row],[Purchased Bike]]))="yes",LOWER(TRIM(tblbuyers[[#This Row],[Purchased Bike]]))="y"),"Yes","No")</f>
        <v>No</v>
      </c>
    </row>
    <row r="891" spans="1:18"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c r="O891">
        <f>COUNTBLANK(tblbuyers[Income])</f>
        <v>0</v>
      </c>
      <c r="P891" t="str">
        <f>IF(tblbuyers[[#This Row],[Age]]&lt;30,"&lt;30",IF(tblbuyers[[#This Row],[Age]]&lt;=45,"30-45",IF(tblbuyers[[#This Row],[Age]]&lt;=60,"46-60","60+")))</f>
        <v>30-45</v>
      </c>
      <c r="Q891" t="str">
        <f>IF(tblbuyers[[#This Row],[Income]]&lt;30000,"Low",IF(tblbuyers[[#This Row],[Income]]&lt;=70000,"Medium","High"))</f>
        <v>Medium</v>
      </c>
      <c r="R891" s="7" t="str">
        <f>IF(OR(LOWER(TRIM(tblbuyers[[#This Row],[Purchased Bike]]))="yes",LOWER(TRIM(tblbuyers[[#This Row],[Purchased Bike]]))="y"),"Yes","No")</f>
        <v>Yes</v>
      </c>
    </row>
    <row r="892" spans="1:18"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c r="O892">
        <f>COUNTBLANK(tblbuyers[Income])</f>
        <v>0</v>
      </c>
      <c r="P892" t="str">
        <f>IF(tblbuyers[[#This Row],[Age]]&lt;30,"&lt;30",IF(tblbuyers[[#This Row],[Age]]&lt;=45,"30-45",IF(tblbuyers[[#This Row],[Age]]&lt;=60,"46-60","60+")))</f>
        <v>46-60</v>
      </c>
      <c r="Q892" t="str">
        <f>IF(tblbuyers[[#This Row],[Income]]&lt;30000,"Low",IF(tblbuyers[[#This Row],[Income]]&lt;=70000,"Medium","High"))</f>
        <v>Medium</v>
      </c>
      <c r="R892" s="7" t="str">
        <f>IF(OR(LOWER(TRIM(tblbuyers[[#This Row],[Purchased Bike]]))="yes",LOWER(TRIM(tblbuyers[[#This Row],[Purchased Bike]]))="y"),"Yes","No")</f>
        <v>No</v>
      </c>
    </row>
    <row r="893" spans="1:18"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c r="O893">
        <f>COUNTBLANK(tblbuyers[Income])</f>
        <v>0</v>
      </c>
      <c r="P893" t="str">
        <f>IF(tblbuyers[[#This Row],[Age]]&lt;30,"&lt;30",IF(tblbuyers[[#This Row],[Age]]&lt;=45,"30-45",IF(tblbuyers[[#This Row],[Age]]&lt;=60,"46-60","60+")))</f>
        <v>60+</v>
      </c>
      <c r="Q893" t="str">
        <f>IF(tblbuyers[[#This Row],[Income]]&lt;30000,"Low",IF(tblbuyers[[#This Row],[Income]]&lt;=70000,"Medium","High"))</f>
        <v>High</v>
      </c>
      <c r="R893" s="7" t="str">
        <f>IF(OR(LOWER(TRIM(tblbuyers[[#This Row],[Purchased Bike]]))="yes",LOWER(TRIM(tblbuyers[[#This Row],[Purchased Bike]]))="y"),"Yes","No")</f>
        <v>Yes</v>
      </c>
    </row>
    <row r="894" spans="1:18"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c r="O894">
        <f>COUNTBLANK(tblbuyers[Income])</f>
        <v>0</v>
      </c>
      <c r="P894" t="str">
        <f>IF(tblbuyers[[#This Row],[Age]]&lt;30,"&lt;30",IF(tblbuyers[[#This Row],[Age]]&lt;=45,"30-45",IF(tblbuyers[[#This Row],[Age]]&lt;=60,"46-60","60+")))</f>
        <v>30-45</v>
      </c>
      <c r="Q894" t="str">
        <f>IF(tblbuyers[[#This Row],[Income]]&lt;30000,"Low",IF(tblbuyers[[#This Row],[Income]]&lt;=70000,"Medium","High"))</f>
        <v>Medium</v>
      </c>
      <c r="R894" s="7" t="str">
        <f>IF(OR(LOWER(TRIM(tblbuyers[[#This Row],[Purchased Bike]]))="yes",LOWER(TRIM(tblbuyers[[#This Row],[Purchased Bike]]))="y"),"Yes","No")</f>
        <v>Yes</v>
      </c>
    </row>
    <row r="895" spans="1:18"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c r="O895">
        <f>COUNTBLANK(tblbuyers[Income])</f>
        <v>0</v>
      </c>
      <c r="P895" t="str">
        <f>IF(tblbuyers[[#This Row],[Age]]&lt;30,"&lt;30",IF(tblbuyers[[#This Row],[Age]]&lt;=45,"30-45",IF(tblbuyers[[#This Row],[Age]]&lt;=60,"46-60","60+")))</f>
        <v>30-45</v>
      </c>
      <c r="Q895" t="str">
        <f>IF(tblbuyers[[#This Row],[Income]]&lt;30000,"Low",IF(tblbuyers[[#This Row],[Income]]&lt;=70000,"Medium","High"))</f>
        <v>Medium</v>
      </c>
      <c r="R895" s="7" t="str">
        <f>IF(OR(LOWER(TRIM(tblbuyers[[#This Row],[Purchased Bike]]))="yes",LOWER(TRIM(tblbuyers[[#This Row],[Purchased Bike]]))="y"),"Yes","No")</f>
        <v>No</v>
      </c>
    </row>
    <row r="896" spans="1:18"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c r="O896">
        <f>COUNTBLANK(tblbuyers[Income])</f>
        <v>0</v>
      </c>
      <c r="P896" t="str">
        <f>IF(tblbuyers[[#This Row],[Age]]&lt;30,"&lt;30",IF(tblbuyers[[#This Row],[Age]]&lt;=45,"30-45",IF(tblbuyers[[#This Row],[Age]]&lt;=60,"46-60","60+")))</f>
        <v>30-45</v>
      </c>
      <c r="Q896" t="str">
        <f>IF(tblbuyers[[#This Row],[Income]]&lt;30000,"Low",IF(tblbuyers[[#This Row],[Income]]&lt;=70000,"Medium","High"))</f>
        <v>Medium</v>
      </c>
      <c r="R896" s="7" t="str">
        <f>IF(OR(LOWER(TRIM(tblbuyers[[#This Row],[Purchased Bike]]))="yes",LOWER(TRIM(tblbuyers[[#This Row],[Purchased Bike]]))="y"),"Yes","No")</f>
        <v>Yes</v>
      </c>
    </row>
    <row r="897" spans="1:18"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c r="O897">
        <f>COUNTBLANK(tblbuyers[Income])</f>
        <v>0</v>
      </c>
      <c r="P897" t="str">
        <f>IF(tblbuyers[[#This Row],[Age]]&lt;30,"&lt;30",IF(tblbuyers[[#This Row],[Age]]&lt;=45,"30-45",IF(tblbuyers[[#This Row],[Age]]&lt;=60,"46-60","60+")))</f>
        <v>60+</v>
      </c>
      <c r="Q897" t="str">
        <f>IF(tblbuyers[[#This Row],[Income]]&lt;30000,"Low",IF(tblbuyers[[#This Row],[Income]]&lt;=70000,"Medium","High"))</f>
        <v>Medium</v>
      </c>
      <c r="R897" s="7" t="str">
        <f>IF(OR(LOWER(TRIM(tblbuyers[[#This Row],[Purchased Bike]]))="yes",LOWER(TRIM(tblbuyers[[#This Row],[Purchased Bike]]))="y"),"Yes","No")</f>
        <v>Yes</v>
      </c>
    </row>
    <row r="898" spans="1:18"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c r="O898">
        <f>COUNTBLANK(tblbuyers[Income])</f>
        <v>0</v>
      </c>
      <c r="P898" t="str">
        <f>IF(tblbuyers[[#This Row],[Age]]&lt;30,"&lt;30",IF(tblbuyers[[#This Row],[Age]]&lt;=45,"30-45",IF(tblbuyers[[#This Row],[Age]]&lt;=60,"46-60","60+")))</f>
        <v>30-45</v>
      </c>
      <c r="Q898" t="str">
        <f>IF(tblbuyers[[#This Row],[Income]]&lt;30000,"Low",IF(tblbuyers[[#This Row],[Income]]&lt;=70000,"Medium","High"))</f>
        <v>Medium</v>
      </c>
      <c r="R898" s="7" t="str">
        <f>IF(OR(LOWER(TRIM(tblbuyers[[#This Row],[Purchased Bike]]))="yes",LOWER(TRIM(tblbuyers[[#This Row],[Purchased Bike]]))="y"),"Yes","No")</f>
        <v>Yes</v>
      </c>
    </row>
    <row r="899" spans="1:18"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c r="O899">
        <f>COUNTBLANK(tblbuyers[Income])</f>
        <v>0</v>
      </c>
      <c r="P899" t="str">
        <f>IF(tblbuyers[[#This Row],[Age]]&lt;30,"&lt;30",IF(tblbuyers[[#This Row],[Age]]&lt;=45,"30-45",IF(tblbuyers[[#This Row],[Age]]&lt;=60,"46-60","60+")))</f>
        <v>&lt;30</v>
      </c>
      <c r="Q899" t="str">
        <f>IF(tblbuyers[[#This Row],[Income]]&lt;30000,"Low",IF(tblbuyers[[#This Row],[Income]]&lt;=70000,"Medium","High"))</f>
        <v>Medium</v>
      </c>
      <c r="R899" s="7" t="str">
        <f>IF(OR(LOWER(TRIM(tblbuyers[[#This Row],[Purchased Bike]]))="yes",LOWER(TRIM(tblbuyers[[#This Row],[Purchased Bike]]))="y"),"Yes","No")</f>
        <v>No</v>
      </c>
    </row>
    <row r="900" spans="1:18"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c r="O900">
        <f>COUNTBLANK(tblbuyers[Income])</f>
        <v>0</v>
      </c>
      <c r="P900" t="str">
        <f>IF(tblbuyers[[#This Row],[Age]]&lt;30,"&lt;30",IF(tblbuyers[[#This Row],[Age]]&lt;=45,"30-45",IF(tblbuyers[[#This Row],[Age]]&lt;=60,"46-60","60+")))</f>
        <v>46-60</v>
      </c>
      <c r="Q900" t="str">
        <f>IF(tblbuyers[[#This Row],[Income]]&lt;30000,"Low",IF(tblbuyers[[#This Row],[Income]]&lt;=70000,"Medium","High"))</f>
        <v>Medium</v>
      </c>
      <c r="R900" s="7" t="str">
        <f>IF(OR(LOWER(TRIM(tblbuyers[[#This Row],[Purchased Bike]]))="yes",LOWER(TRIM(tblbuyers[[#This Row],[Purchased Bike]]))="y"),"Yes","No")</f>
        <v>Yes</v>
      </c>
    </row>
    <row r="901" spans="1:18" x14ac:dyDescent="0.25">
      <c r="A901">
        <v>28192</v>
      </c>
      <c r="B901" t="s">
        <v>36</v>
      </c>
      <c r="C901" t="s">
        <v>38</v>
      </c>
      <c r="D901" s="3">
        <v>70000</v>
      </c>
      <c r="E901">
        <v>5</v>
      </c>
      <c r="F901" t="s">
        <v>31</v>
      </c>
      <c r="G901" t="s">
        <v>21</v>
      </c>
      <c r="H901" t="s">
        <v>15</v>
      </c>
      <c r="I901">
        <v>3</v>
      </c>
      <c r="J901" t="s">
        <v>30</v>
      </c>
      <c r="K901" t="s">
        <v>32</v>
      </c>
      <c r="L901">
        <v>46</v>
      </c>
      <c r="M901" t="str">
        <f t="shared" si="14"/>
        <v>Middle Age</v>
      </c>
      <c r="N901" t="s">
        <v>18</v>
      </c>
      <c r="O901">
        <f>COUNTBLANK(tblbuyers[Income])</f>
        <v>0</v>
      </c>
      <c r="P901" t="str">
        <f>IF(tblbuyers[[#This Row],[Age]]&lt;30,"&lt;30",IF(tblbuyers[[#This Row],[Age]]&lt;=45,"30-45",IF(tblbuyers[[#This Row],[Age]]&lt;=60,"46-60","60+")))</f>
        <v>46-60</v>
      </c>
      <c r="Q901" t="str">
        <f>IF(tblbuyers[[#This Row],[Income]]&lt;30000,"Low",IF(tblbuyers[[#This Row],[Income]]&lt;=70000,"Medium","High"))</f>
        <v>Medium</v>
      </c>
      <c r="R901" s="7" t="str">
        <f>IF(OR(LOWER(TRIM(tblbuyers[[#This Row],[Purchased Bike]]))="yes",LOWER(TRIM(tblbuyers[[#This Row],[Purchased Bike]]))="y"),"Yes","No")</f>
        <v>No</v>
      </c>
    </row>
    <row r="902" spans="1:18"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c r="O902">
        <f>COUNTBLANK(tblbuyers[Income])</f>
        <v>0</v>
      </c>
      <c r="P902" t="str">
        <f>IF(tblbuyers[[#This Row],[Age]]&lt;30,"&lt;30",IF(tblbuyers[[#This Row],[Age]]&lt;=45,"30-45",IF(tblbuyers[[#This Row],[Age]]&lt;=60,"46-60","60+")))</f>
        <v>30-45</v>
      </c>
      <c r="Q902" t="str">
        <f>IF(tblbuyers[[#This Row],[Income]]&lt;30000,"Low",IF(tblbuyers[[#This Row],[Income]]&lt;=70000,"Medium","High"))</f>
        <v>Medium</v>
      </c>
      <c r="R902" s="7" t="str">
        <f>IF(OR(LOWER(TRIM(tblbuyers[[#This Row],[Purchased Bike]]))="yes",LOWER(TRIM(tblbuyers[[#This Row],[Purchased Bike]]))="y"),"Yes","No")</f>
        <v>Yes</v>
      </c>
    </row>
    <row r="903" spans="1:18"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c r="O903">
        <f>COUNTBLANK(tblbuyers[Income])</f>
        <v>0</v>
      </c>
      <c r="P903" t="str">
        <f>IF(tblbuyers[[#This Row],[Age]]&lt;30,"&lt;30",IF(tblbuyers[[#This Row],[Age]]&lt;=45,"30-45",IF(tblbuyers[[#This Row],[Age]]&lt;=60,"46-60","60+")))</f>
        <v>30-45</v>
      </c>
      <c r="Q903" t="str">
        <f>IF(tblbuyers[[#This Row],[Income]]&lt;30000,"Low",IF(tblbuyers[[#This Row],[Income]]&lt;=70000,"Medium","High"))</f>
        <v>Medium</v>
      </c>
      <c r="R903" s="7" t="str">
        <f>IF(OR(LOWER(TRIM(tblbuyers[[#This Row],[Purchased Bike]]))="yes",LOWER(TRIM(tblbuyers[[#This Row],[Purchased Bike]]))="y"),"Yes","No")</f>
        <v>Yes</v>
      </c>
    </row>
    <row r="904" spans="1:18"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c r="O904">
        <f>COUNTBLANK(tblbuyers[Income])</f>
        <v>0</v>
      </c>
      <c r="P904" t="str">
        <f>IF(tblbuyers[[#This Row],[Age]]&lt;30,"&lt;30",IF(tblbuyers[[#This Row],[Age]]&lt;=45,"30-45",IF(tblbuyers[[#This Row],[Age]]&lt;=60,"46-60","60+")))</f>
        <v>30-45</v>
      </c>
      <c r="Q904" t="str">
        <f>IF(tblbuyers[[#This Row],[Income]]&lt;30000,"Low",IF(tblbuyers[[#This Row],[Income]]&lt;=70000,"Medium","High"))</f>
        <v>High</v>
      </c>
      <c r="R904" s="7" t="str">
        <f>IF(OR(LOWER(TRIM(tblbuyers[[#This Row],[Purchased Bike]]))="yes",LOWER(TRIM(tblbuyers[[#This Row],[Purchased Bike]]))="y"),"Yes","No")</f>
        <v>No</v>
      </c>
    </row>
    <row r="905" spans="1:18"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c r="O905">
        <f>COUNTBLANK(tblbuyers[Income])</f>
        <v>0</v>
      </c>
      <c r="P905" t="str">
        <f>IF(tblbuyers[[#This Row],[Age]]&lt;30,"&lt;30",IF(tblbuyers[[#This Row],[Age]]&lt;=45,"30-45",IF(tblbuyers[[#This Row],[Age]]&lt;=60,"46-60","60+")))</f>
        <v>60+</v>
      </c>
      <c r="Q905" t="str">
        <f>IF(tblbuyers[[#This Row],[Income]]&lt;30000,"Low",IF(tblbuyers[[#This Row],[Income]]&lt;=70000,"Medium","High"))</f>
        <v>High</v>
      </c>
      <c r="R905" s="7" t="str">
        <f>IF(OR(LOWER(TRIM(tblbuyers[[#This Row],[Purchased Bike]]))="yes",LOWER(TRIM(tblbuyers[[#This Row],[Purchased Bike]]))="y"),"Yes","No")</f>
        <v>No</v>
      </c>
    </row>
    <row r="906" spans="1:18"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c r="O906">
        <f>COUNTBLANK(tblbuyers[Income])</f>
        <v>0</v>
      </c>
      <c r="P906" t="str">
        <f>IF(tblbuyers[[#This Row],[Age]]&lt;30,"&lt;30",IF(tblbuyers[[#This Row],[Age]]&lt;=45,"30-45",IF(tblbuyers[[#This Row],[Age]]&lt;=60,"46-60","60+")))</f>
        <v>30-45</v>
      </c>
      <c r="Q906" t="str">
        <f>IF(tblbuyers[[#This Row],[Income]]&lt;30000,"Low",IF(tblbuyers[[#This Row],[Income]]&lt;=70000,"Medium","High"))</f>
        <v>Medium</v>
      </c>
      <c r="R906" s="7" t="str">
        <f>IF(OR(LOWER(TRIM(tblbuyers[[#This Row],[Purchased Bike]]))="yes",LOWER(TRIM(tblbuyers[[#This Row],[Purchased Bike]]))="y"),"Yes","No")</f>
        <v>Yes</v>
      </c>
    </row>
    <row r="907" spans="1:18"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c r="O907">
        <f>COUNTBLANK(tblbuyers[Income])</f>
        <v>0</v>
      </c>
      <c r="P907" t="str">
        <f>IF(tblbuyers[[#This Row],[Age]]&lt;30,"&lt;30",IF(tblbuyers[[#This Row],[Age]]&lt;=45,"30-45",IF(tblbuyers[[#This Row],[Age]]&lt;=60,"46-60","60+")))</f>
        <v>30-45</v>
      </c>
      <c r="Q907" t="str">
        <f>IF(tblbuyers[[#This Row],[Income]]&lt;30000,"Low",IF(tblbuyers[[#This Row],[Income]]&lt;=70000,"Medium","High"))</f>
        <v>High</v>
      </c>
      <c r="R907" s="7" t="str">
        <f>IF(OR(LOWER(TRIM(tblbuyers[[#This Row],[Purchased Bike]]))="yes",LOWER(TRIM(tblbuyers[[#This Row],[Purchased Bike]]))="y"),"Yes","No")</f>
        <v>Yes</v>
      </c>
    </row>
    <row r="908" spans="1:18"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c r="O908">
        <f>COUNTBLANK(tblbuyers[Income])</f>
        <v>0</v>
      </c>
      <c r="P908" t="str">
        <f>IF(tblbuyers[[#This Row],[Age]]&lt;30,"&lt;30",IF(tblbuyers[[#This Row],[Age]]&lt;=45,"30-45",IF(tblbuyers[[#This Row],[Age]]&lt;=60,"46-60","60+")))</f>
        <v>30-45</v>
      </c>
      <c r="Q908" t="str">
        <f>IF(tblbuyers[[#This Row],[Income]]&lt;30000,"Low",IF(tblbuyers[[#This Row],[Income]]&lt;=70000,"Medium","High"))</f>
        <v>Medium</v>
      </c>
      <c r="R908" s="7" t="str">
        <f>IF(OR(LOWER(TRIM(tblbuyers[[#This Row],[Purchased Bike]]))="yes",LOWER(TRIM(tblbuyers[[#This Row],[Purchased Bike]]))="y"),"Yes","No")</f>
        <v>Yes</v>
      </c>
    </row>
    <row r="909" spans="1:18"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c r="O909">
        <f>COUNTBLANK(tblbuyers[Income])</f>
        <v>0</v>
      </c>
      <c r="P909" t="str">
        <f>IF(tblbuyers[[#This Row],[Age]]&lt;30,"&lt;30",IF(tblbuyers[[#This Row],[Age]]&lt;=45,"30-45",IF(tblbuyers[[#This Row],[Age]]&lt;=60,"46-60","60+")))</f>
        <v>60+</v>
      </c>
      <c r="Q909" t="str">
        <f>IF(tblbuyers[[#This Row],[Income]]&lt;30000,"Low",IF(tblbuyers[[#This Row],[Income]]&lt;=70000,"Medium","High"))</f>
        <v>Medium</v>
      </c>
      <c r="R909" s="7" t="str">
        <f>IF(OR(LOWER(TRIM(tblbuyers[[#This Row],[Purchased Bike]]))="yes",LOWER(TRIM(tblbuyers[[#This Row],[Purchased Bike]]))="y"),"Yes","No")</f>
        <v>No</v>
      </c>
    </row>
    <row r="910" spans="1:18"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c r="O910">
        <f>COUNTBLANK(tblbuyers[Income])</f>
        <v>0</v>
      </c>
      <c r="P910" t="str">
        <f>IF(tblbuyers[[#This Row],[Age]]&lt;30,"&lt;30",IF(tblbuyers[[#This Row],[Age]]&lt;=45,"30-45",IF(tblbuyers[[#This Row],[Age]]&lt;=60,"46-60","60+")))</f>
        <v>30-45</v>
      </c>
      <c r="Q910" t="str">
        <f>IF(tblbuyers[[#This Row],[Income]]&lt;30000,"Low",IF(tblbuyers[[#This Row],[Income]]&lt;=70000,"Medium","High"))</f>
        <v>Medium</v>
      </c>
      <c r="R910" s="7" t="str">
        <f>IF(OR(LOWER(TRIM(tblbuyers[[#This Row],[Purchased Bike]]))="yes",LOWER(TRIM(tblbuyers[[#This Row],[Purchased Bike]]))="y"),"Yes","No")</f>
        <v>Yes</v>
      </c>
    </row>
    <row r="911" spans="1:18"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c r="O911">
        <f>COUNTBLANK(tblbuyers[Income])</f>
        <v>0</v>
      </c>
      <c r="P911" t="str">
        <f>IF(tblbuyers[[#This Row],[Age]]&lt;30,"&lt;30",IF(tblbuyers[[#This Row],[Age]]&lt;=45,"30-45",IF(tblbuyers[[#This Row],[Age]]&lt;=60,"46-60","60+")))</f>
        <v>30-45</v>
      </c>
      <c r="Q911" t="str">
        <f>IF(tblbuyers[[#This Row],[Income]]&lt;30000,"Low",IF(tblbuyers[[#This Row],[Income]]&lt;=70000,"Medium","High"))</f>
        <v>Medium</v>
      </c>
      <c r="R911" s="7" t="str">
        <f>IF(OR(LOWER(TRIM(tblbuyers[[#This Row],[Purchased Bike]]))="yes",LOWER(TRIM(tblbuyers[[#This Row],[Purchased Bike]]))="y"),"Yes","No")</f>
        <v>Yes</v>
      </c>
    </row>
    <row r="912" spans="1:18"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c r="O912">
        <f>COUNTBLANK(tblbuyers[Income])</f>
        <v>0</v>
      </c>
      <c r="P912" t="str">
        <f>IF(tblbuyers[[#This Row],[Age]]&lt;30,"&lt;30",IF(tblbuyers[[#This Row],[Age]]&lt;=45,"30-45",IF(tblbuyers[[#This Row],[Age]]&lt;=60,"46-60","60+")))</f>
        <v>46-60</v>
      </c>
      <c r="Q912" t="str">
        <f>IF(tblbuyers[[#This Row],[Income]]&lt;30000,"Low",IF(tblbuyers[[#This Row],[Income]]&lt;=70000,"Medium","High"))</f>
        <v>Medium</v>
      </c>
      <c r="R912" s="7" t="str">
        <f>IF(OR(LOWER(TRIM(tblbuyers[[#This Row],[Purchased Bike]]))="yes",LOWER(TRIM(tblbuyers[[#This Row],[Purchased Bike]]))="y"),"Yes","No")</f>
        <v>No</v>
      </c>
    </row>
    <row r="913" spans="1:18"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c r="O913">
        <f>COUNTBLANK(tblbuyers[Income])</f>
        <v>0</v>
      </c>
      <c r="P913" t="str">
        <f>IF(tblbuyers[[#This Row],[Age]]&lt;30,"&lt;30",IF(tblbuyers[[#This Row],[Age]]&lt;=45,"30-45",IF(tblbuyers[[#This Row],[Age]]&lt;=60,"46-60","60+")))</f>
        <v>60+</v>
      </c>
      <c r="Q913" t="str">
        <f>IF(tblbuyers[[#This Row],[Income]]&lt;30000,"Low",IF(tblbuyers[[#This Row],[Income]]&lt;=70000,"Medium","High"))</f>
        <v>High</v>
      </c>
      <c r="R913" s="7" t="str">
        <f>IF(OR(LOWER(TRIM(tblbuyers[[#This Row],[Purchased Bike]]))="yes",LOWER(TRIM(tblbuyers[[#This Row],[Purchased Bike]]))="y"),"Yes","No")</f>
        <v>No</v>
      </c>
    </row>
    <row r="914" spans="1:18"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c r="O914">
        <f>COUNTBLANK(tblbuyers[Income])</f>
        <v>0</v>
      </c>
      <c r="P914" t="str">
        <f>IF(tblbuyers[[#This Row],[Age]]&lt;30,"&lt;30",IF(tblbuyers[[#This Row],[Age]]&lt;=45,"30-45",IF(tblbuyers[[#This Row],[Age]]&lt;=60,"46-60","60+")))</f>
        <v>30-45</v>
      </c>
      <c r="Q914" t="str">
        <f>IF(tblbuyers[[#This Row],[Income]]&lt;30000,"Low",IF(tblbuyers[[#This Row],[Income]]&lt;=70000,"Medium","High"))</f>
        <v>Medium</v>
      </c>
      <c r="R914" s="7" t="str">
        <f>IF(OR(LOWER(TRIM(tblbuyers[[#This Row],[Purchased Bike]]))="yes",LOWER(TRIM(tblbuyers[[#This Row],[Purchased Bike]]))="y"),"Yes","No")</f>
        <v>No</v>
      </c>
    </row>
    <row r="915" spans="1:18"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c r="O915">
        <f>COUNTBLANK(tblbuyers[Income])</f>
        <v>0</v>
      </c>
      <c r="P915" t="str">
        <f>IF(tblbuyers[[#This Row],[Age]]&lt;30,"&lt;30",IF(tblbuyers[[#This Row],[Age]]&lt;=45,"30-45",IF(tblbuyers[[#This Row],[Age]]&lt;=60,"46-60","60+")))</f>
        <v>30-45</v>
      </c>
      <c r="Q915" t="str">
        <f>IF(tblbuyers[[#This Row],[Income]]&lt;30000,"Low",IF(tblbuyers[[#This Row],[Income]]&lt;=70000,"Medium","High"))</f>
        <v>Medium</v>
      </c>
      <c r="R915" s="7" t="str">
        <f>IF(OR(LOWER(TRIM(tblbuyers[[#This Row],[Purchased Bike]]))="yes",LOWER(TRIM(tblbuyers[[#This Row],[Purchased Bike]]))="y"),"Yes","No")</f>
        <v>Yes</v>
      </c>
    </row>
    <row r="916" spans="1:18"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c r="O916">
        <f>COUNTBLANK(tblbuyers[Income])</f>
        <v>0</v>
      </c>
      <c r="P916" t="str">
        <f>IF(tblbuyers[[#This Row],[Age]]&lt;30,"&lt;30",IF(tblbuyers[[#This Row],[Age]]&lt;=45,"30-45",IF(tblbuyers[[#This Row],[Age]]&lt;=60,"46-60","60+")))</f>
        <v>46-60</v>
      </c>
      <c r="Q916" t="str">
        <f>IF(tblbuyers[[#This Row],[Income]]&lt;30000,"Low",IF(tblbuyers[[#This Row],[Income]]&lt;=70000,"Medium","High"))</f>
        <v>High</v>
      </c>
      <c r="R916" s="7" t="str">
        <f>IF(OR(LOWER(TRIM(tblbuyers[[#This Row],[Purchased Bike]]))="yes",LOWER(TRIM(tblbuyers[[#This Row],[Purchased Bike]]))="y"),"Yes","No")</f>
        <v>No</v>
      </c>
    </row>
    <row r="917" spans="1:18"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c r="O917">
        <f>COUNTBLANK(tblbuyers[Income])</f>
        <v>0</v>
      </c>
      <c r="P917" t="str">
        <f>IF(tblbuyers[[#This Row],[Age]]&lt;30,"&lt;30",IF(tblbuyers[[#This Row],[Age]]&lt;=45,"30-45",IF(tblbuyers[[#This Row],[Age]]&lt;=60,"46-60","60+")))</f>
        <v>60+</v>
      </c>
      <c r="Q917" t="str">
        <f>IF(tblbuyers[[#This Row],[Income]]&lt;30000,"Low",IF(tblbuyers[[#This Row],[Income]]&lt;=70000,"Medium","High"))</f>
        <v>Medium</v>
      </c>
      <c r="R917" s="7" t="str">
        <f>IF(OR(LOWER(TRIM(tblbuyers[[#This Row],[Purchased Bike]]))="yes",LOWER(TRIM(tblbuyers[[#This Row],[Purchased Bike]]))="y"),"Yes","No")</f>
        <v>No</v>
      </c>
    </row>
    <row r="918" spans="1:18"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c r="O918">
        <f>COUNTBLANK(tblbuyers[Income])</f>
        <v>0</v>
      </c>
      <c r="P918" t="str">
        <f>IF(tblbuyers[[#This Row],[Age]]&lt;30,"&lt;30",IF(tblbuyers[[#This Row],[Age]]&lt;=45,"30-45",IF(tblbuyers[[#This Row],[Age]]&lt;=60,"46-60","60+")))</f>
        <v>30-45</v>
      </c>
      <c r="Q918" t="str">
        <f>IF(tblbuyers[[#This Row],[Income]]&lt;30000,"Low",IF(tblbuyers[[#This Row],[Income]]&lt;=70000,"Medium","High"))</f>
        <v>Medium</v>
      </c>
      <c r="R918" s="7" t="str">
        <f>IF(OR(LOWER(TRIM(tblbuyers[[#This Row],[Purchased Bike]]))="yes",LOWER(TRIM(tblbuyers[[#This Row],[Purchased Bike]]))="y"),"Yes","No")</f>
        <v>Yes</v>
      </c>
    </row>
    <row r="919" spans="1:18"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c r="O919">
        <f>COUNTBLANK(tblbuyers[Income])</f>
        <v>0</v>
      </c>
      <c r="P919" t="str">
        <f>IF(tblbuyers[[#This Row],[Age]]&lt;30,"&lt;30",IF(tblbuyers[[#This Row],[Age]]&lt;=45,"30-45",IF(tblbuyers[[#This Row],[Age]]&lt;=60,"46-60","60+")))</f>
        <v>30-45</v>
      </c>
      <c r="Q919" t="str">
        <f>IF(tblbuyers[[#This Row],[Income]]&lt;30000,"Low",IF(tblbuyers[[#This Row],[Income]]&lt;=70000,"Medium","High"))</f>
        <v>High</v>
      </c>
      <c r="R919" s="7" t="str">
        <f>IF(OR(LOWER(TRIM(tblbuyers[[#This Row],[Purchased Bike]]))="yes",LOWER(TRIM(tblbuyers[[#This Row],[Purchased Bike]]))="y"),"Yes","No")</f>
        <v>Yes</v>
      </c>
    </row>
    <row r="920" spans="1:18"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c r="O920">
        <f>COUNTBLANK(tblbuyers[Income])</f>
        <v>0</v>
      </c>
      <c r="P920" t="str">
        <f>IF(tblbuyers[[#This Row],[Age]]&lt;30,"&lt;30",IF(tblbuyers[[#This Row],[Age]]&lt;=45,"30-45",IF(tblbuyers[[#This Row],[Age]]&lt;=60,"46-60","60+")))</f>
        <v>30-45</v>
      </c>
      <c r="Q920" t="str">
        <f>IF(tblbuyers[[#This Row],[Income]]&lt;30000,"Low",IF(tblbuyers[[#This Row],[Income]]&lt;=70000,"Medium","High"))</f>
        <v>Medium</v>
      </c>
      <c r="R920" s="7" t="str">
        <f>IF(OR(LOWER(TRIM(tblbuyers[[#This Row],[Purchased Bike]]))="yes",LOWER(TRIM(tblbuyers[[#This Row],[Purchased Bike]]))="y"),"Yes","No")</f>
        <v>Yes</v>
      </c>
    </row>
    <row r="921" spans="1:18"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c r="O921">
        <f>COUNTBLANK(tblbuyers[Income])</f>
        <v>0</v>
      </c>
      <c r="P921" t="str">
        <f>IF(tblbuyers[[#This Row],[Age]]&lt;30,"&lt;30",IF(tblbuyers[[#This Row],[Age]]&lt;=45,"30-45",IF(tblbuyers[[#This Row],[Age]]&lt;=60,"46-60","60+")))</f>
        <v>60+</v>
      </c>
      <c r="Q921" t="str">
        <f>IF(tblbuyers[[#This Row],[Income]]&lt;30000,"Low",IF(tblbuyers[[#This Row],[Income]]&lt;=70000,"Medium","High"))</f>
        <v>Medium</v>
      </c>
      <c r="R921" s="7" t="str">
        <f>IF(OR(LOWER(TRIM(tblbuyers[[#This Row],[Purchased Bike]]))="yes",LOWER(TRIM(tblbuyers[[#This Row],[Purchased Bike]]))="y"),"Yes","No")</f>
        <v>No</v>
      </c>
    </row>
    <row r="922" spans="1:18"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c r="O922">
        <f>COUNTBLANK(tblbuyers[Income])</f>
        <v>0</v>
      </c>
      <c r="P922" t="str">
        <f>IF(tblbuyers[[#This Row],[Age]]&lt;30,"&lt;30",IF(tblbuyers[[#This Row],[Age]]&lt;=45,"30-45",IF(tblbuyers[[#This Row],[Age]]&lt;=60,"46-60","60+")))</f>
        <v>46-60</v>
      </c>
      <c r="Q922" t="str">
        <f>IF(tblbuyers[[#This Row],[Income]]&lt;30000,"Low",IF(tblbuyers[[#This Row],[Income]]&lt;=70000,"Medium","High"))</f>
        <v>Medium</v>
      </c>
      <c r="R922" s="7" t="str">
        <f>IF(OR(LOWER(TRIM(tblbuyers[[#This Row],[Purchased Bike]]))="yes",LOWER(TRIM(tblbuyers[[#This Row],[Purchased Bike]]))="y"),"Yes","No")</f>
        <v>No</v>
      </c>
    </row>
    <row r="923" spans="1:18"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c r="O923">
        <f>COUNTBLANK(tblbuyers[Income])</f>
        <v>0</v>
      </c>
      <c r="P923" t="str">
        <f>IF(tblbuyers[[#This Row],[Age]]&lt;30,"&lt;30",IF(tblbuyers[[#This Row],[Age]]&lt;=45,"30-45",IF(tblbuyers[[#This Row],[Age]]&lt;=60,"46-60","60+")))</f>
        <v>46-60</v>
      </c>
      <c r="Q923" t="str">
        <f>IF(tblbuyers[[#This Row],[Income]]&lt;30000,"Low",IF(tblbuyers[[#This Row],[Income]]&lt;=70000,"Medium","High"))</f>
        <v>Medium</v>
      </c>
      <c r="R923" s="7" t="str">
        <f>IF(OR(LOWER(TRIM(tblbuyers[[#This Row],[Purchased Bike]]))="yes",LOWER(TRIM(tblbuyers[[#This Row],[Purchased Bike]]))="y"),"Yes","No")</f>
        <v>Yes</v>
      </c>
    </row>
    <row r="924" spans="1:18"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c r="O924">
        <f>COUNTBLANK(tblbuyers[Income])</f>
        <v>0</v>
      </c>
      <c r="P924" t="str">
        <f>IF(tblbuyers[[#This Row],[Age]]&lt;30,"&lt;30",IF(tblbuyers[[#This Row],[Age]]&lt;=45,"30-45",IF(tblbuyers[[#This Row],[Age]]&lt;=60,"46-60","60+")))</f>
        <v>46-60</v>
      </c>
      <c r="Q924" t="str">
        <f>IF(tblbuyers[[#This Row],[Income]]&lt;30000,"Low",IF(tblbuyers[[#This Row],[Income]]&lt;=70000,"Medium","High"))</f>
        <v>Medium</v>
      </c>
      <c r="R924" s="7" t="str">
        <f>IF(OR(LOWER(TRIM(tblbuyers[[#This Row],[Purchased Bike]]))="yes",LOWER(TRIM(tblbuyers[[#This Row],[Purchased Bike]]))="y"),"Yes","No")</f>
        <v>Yes</v>
      </c>
    </row>
    <row r="925" spans="1:18"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c r="O925">
        <f>COUNTBLANK(tblbuyers[Income])</f>
        <v>0</v>
      </c>
      <c r="P925" t="str">
        <f>IF(tblbuyers[[#This Row],[Age]]&lt;30,"&lt;30",IF(tblbuyers[[#This Row],[Age]]&lt;=45,"30-45",IF(tblbuyers[[#This Row],[Age]]&lt;=60,"46-60","60+")))</f>
        <v>46-60</v>
      </c>
      <c r="Q925" t="str">
        <f>IF(tblbuyers[[#This Row],[Income]]&lt;30000,"Low",IF(tblbuyers[[#This Row],[Income]]&lt;=70000,"Medium","High"))</f>
        <v>Medium</v>
      </c>
      <c r="R925" s="7" t="str">
        <f>IF(OR(LOWER(TRIM(tblbuyers[[#This Row],[Purchased Bike]]))="yes",LOWER(TRIM(tblbuyers[[#This Row],[Purchased Bike]]))="y"),"Yes","No")</f>
        <v>Yes</v>
      </c>
    </row>
    <row r="926" spans="1:18"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c r="O926">
        <f>COUNTBLANK(tblbuyers[Income])</f>
        <v>0</v>
      </c>
      <c r="P926" t="str">
        <f>IF(tblbuyers[[#This Row],[Age]]&lt;30,"&lt;30",IF(tblbuyers[[#This Row],[Age]]&lt;=45,"30-45",IF(tblbuyers[[#This Row],[Age]]&lt;=60,"46-60","60+")))</f>
        <v>46-60</v>
      </c>
      <c r="Q926" t="str">
        <f>IF(tblbuyers[[#This Row],[Income]]&lt;30000,"Low",IF(tblbuyers[[#This Row],[Income]]&lt;=70000,"Medium","High"))</f>
        <v>High</v>
      </c>
      <c r="R926" s="7" t="str">
        <f>IF(OR(LOWER(TRIM(tblbuyers[[#This Row],[Purchased Bike]]))="yes",LOWER(TRIM(tblbuyers[[#This Row],[Purchased Bike]]))="y"),"Yes","No")</f>
        <v>Yes</v>
      </c>
    </row>
    <row r="927" spans="1:18"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c r="O927">
        <f>COUNTBLANK(tblbuyers[Income])</f>
        <v>0</v>
      </c>
      <c r="P927" t="str">
        <f>IF(tblbuyers[[#This Row],[Age]]&lt;30,"&lt;30",IF(tblbuyers[[#This Row],[Age]]&lt;=45,"30-45",IF(tblbuyers[[#This Row],[Age]]&lt;=60,"46-60","60+")))</f>
        <v>30-45</v>
      </c>
      <c r="Q927" t="str">
        <f>IF(tblbuyers[[#This Row],[Income]]&lt;30000,"Low",IF(tblbuyers[[#This Row],[Income]]&lt;=70000,"Medium","High"))</f>
        <v>Medium</v>
      </c>
      <c r="R927" s="7" t="str">
        <f>IF(OR(LOWER(TRIM(tblbuyers[[#This Row],[Purchased Bike]]))="yes",LOWER(TRIM(tblbuyers[[#This Row],[Purchased Bike]]))="y"),"Yes","No")</f>
        <v>Yes</v>
      </c>
    </row>
    <row r="928" spans="1:18"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c r="O928">
        <f>COUNTBLANK(tblbuyers[Income])</f>
        <v>0</v>
      </c>
      <c r="P928" t="str">
        <f>IF(tblbuyers[[#This Row],[Age]]&lt;30,"&lt;30",IF(tblbuyers[[#This Row],[Age]]&lt;=45,"30-45",IF(tblbuyers[[#This Row],[Age]]&lt;=60,"46-60","60+")))</f>
        <v>46-60</v>
      </c>
      <c r="Q928" t="str">
        <f>IF(tblbuyers[[#This Row],[Income]]&lt;30000,"Low",IF(tblbuyers[[#This Row],[Income]]&lt;=70000,"Medium","High"))</f>
        <v>Medium</v>
      </c>
      <c r="R928" s="7" t="str">
        <f>IF(OR(LOWER(TRIM(tblbuyers[[#This Row],[Purchased Bike]]))="yes",LOWER(TRIM(tblbuyers[[#This Row],[Purchased Bike]]))="y"),"Yes","No")</f>
        <v>No</v>
      </c>
    </row>
    <row r="929" spans="1:18"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c r="O929">
        <f>COUNTBLANK(tblbuyers[Income])</f>
        <v>0</v>
      </c>
      <c r="P929" t="str">
        <f>IF(tblbuyers[[#This Row],[Age]]&lt;30,"&lt;30",IF(tblbuyers[[#This Row],[Age]]&lt;=45,"30-45",IF(tblbuyers[[#This Row],[Age]]&lt;=60,"46-60","60+")))</f>
        <v>30-45</v>
      </c>
      <c r="Q929" t="str">
        <f>IF(tblbuyers[[#This Row],[Income]]&lt;30000,"Low",IF(tblbuyers[[#This Row],[Income]]&lt;=70000,"Medium","High"))</f>
        <v>Medium</v>
      </c>
      <c r="R929" s="7" t="str">
        <f>IF(OR(LOWER(TRIM(tblbuyers[[#This Row],[Purchased Bike]]))="yes",LOWER(TRIM(tblbuyers[[#This Row],[Purchased Bike]]))="y"),"Yes","No")</f>
        <v>No</v>
      </c>
    </row>
    <row r="930" spans="1:18"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c r="O930">
        <f>COUNTBLANK(tblbuyers[Income])</f>
        <v>0</v>
      </c>
      <c r="P930" t="str">
        <f>IF(tblbuyers[[#This Row],[Age]]&lt;30,"&lt;30",IF(tblbuyers[[#This Row],[Age]]&lt;=45,"30-45",IF(tblbuyers[[#This Row],[Age]]&lt;=60,"46-60","60+")))</f>
        <v>46-60</v>
      </c>
      <c r="Q930" t="str">
        <f>IF(tblbuyers[[#This Row],[Income]]&lt;30000,"Low",IF(tblbuyers[[#This Row],[Income]]&lt;=70000,"Medium","High"))</f>
        <v>Medium</v>
      </c>
      <c r="R930" s="7" t="str">
        <f>IF(OR(LOWER(TRIM(tblbuyers[[#This Row],[Purchased Bike]]))="yes",LOWER(TRIM(tblbuyers[[#This Row],[Purchased Bike]]))="y"),"Yes","No")</f>
        <v>No</v>
      </c>
    </row>
    <row r="931" spans="1:18"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c r="O931">
        <f>COUNTBLANK(tblbuyers[Income])</f>
        <v>0</v>
      </c>
      <c r="P931" t="str">
        <f>IF(tblbuyers[[#This Row],[Age]]&lt;30,"&lt;30",IF(tblbuyers[[#This Row],[Age]]&lt;=45,"30-45",IF(tblbuyers[[#This Row],[Age]]&lt;=60,"46-60","60+")))</f>
        <v>46-60</v>
      </c>
      <c r="Q931" t="str">
        <f>IF(tblbuyers[[#This Row],[Income]]&lt;30000,"Low",IF(tblbuyers[[#This Row],[Income]]&lt;=70000,"Medium","High"))</f>
        <v>Medium</v>
      </c>
      <c r="R931" s="7" t="str">
        <f>IF(OR(LOWER(TRIM(tblbuyers[[#This Row],[Purchased Bike]]))="yes",LOWER(TRIM(tblbuyers[[#This Row],[Purchased Bike]]))="y"),"Yes","No")</f>
        <v>No</v>
      </c>
    </row>
    <row r="932" spans="1:18" x14ac:dyDescent="0.25">
      <c r="A932">
        <v>19543</v>
      </c>
      <c r="B932" t="s">
        <v>36</v>
      </c>
      <c r="C932" t="s">
        <v>39</v>
      </c>
      <c r="D932" s="3">
        <v>70000</v>
      </c>
      <c r="E932">
        <v>5</v>
      </c>
      <c r="F932" t="s">
        <v>31</v>
      </c>
      <c r="G932" t="s">
        <v>21</v>
      </c>
      <c r="H932" t="s">
        <v>18</v>
      </c>
      <c r="I932">
        <v>3</v>
      </c>
      <c r="J932" t="s">
        <v>30</v>
      </c>
      <c r="K932" t="s">
        <v>32</v>
      </c>
      <c r="L932">
        <v>47</v>
      </c>
      <c r="M932" t="str">
        <f t="shared" si="14"/>
        <v>Middle Age</v>
      </c>
      <c r="N932" t="s">
        <v>18</v>
      </c>
      <c r="O932">
        <f>COUNTBLANK(tblbuyers[Income])</f>
        <v>0</v>
      </c>
      <c r="P932" t="str">
        <f>IF(tblbuyers[[#This Row],[Age]]&lt;30,"&lt;30",IF(tblbuyers[[#This Row],[Age]]&lt;=45,"30-45",IF(tblbuyers[[#This Row],[Age]]&lt;=60,"46-60","60+")))</f>
        <v>46-60</v>
      </c>
      <c r="Q932" t="str">
        <f>IF(tblbuyers[[#This Row],[Income]]&lt;30000,"Low",IF(tblbuyers[[#This Row],[Income]]&lt;=70000,"Medium","High"))</f>
        <v>Medium</v>
      </c>
      <c r="R932" s="7" t="str">
        <f>IF(OR(LOWER(TRIM(tblbuyers[[#This Row],[Purchased Bike]]))="yes",LOWER(TRIM(tblbuyers[[#This Row],[Purchased Bike]]))="y"),"Yes","No")</f>
        <v>No</v>
      </c>
    </row>
    <row r="933" spans="1:18"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c r="O933">
        <f>COUNTBLANK(tblbuyers[Income])</f>
        <v>0</v>
      </c>
      <c r="P933" t="str">
        <f>IF(tblbuyers[[#This Row],[Age]]&lt;30,"&lt;30",IF(tblbuyers[[#This Row],[Age]]&lt;=45,"30-45",IF(tblbuyers[[#This Row],[Age]]&lt;=60,"46-60","60+")))</f>
        <v>46-60</v>
      </c>
      <c r="Q933" t="str">
        <f>IF(tblbuyers[[#This Row],[Income]]&lt;30000,"Low",IF(tblbuyers[[#This Row],[Income]]&lt;=70000,"Medium","High"))</f>
        <v>Medium</v>
      </c>
      <c r="R933" s="7" t="str">
        <f>IF(OR(LOWER(TRIM(tblbuyers[[#This Row],[Purchased Bike]]))="yes",LOWER(TRIM(tblbuyers[[#This Row],[Purchased Bike]]))="y"),"Yes","No")</f>
        <v>Yes</v>
      </c>
    </row>
    <row r="934" spans="1:18"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c r="O934">
        <f>COUNTBLANK(tblbuyers[Income])</f>
        <v>0</v>
      </c>
      <c r="P934" t="str">
        <f>IF(tblbuyers[[#This Row],[Age]]&lt;30,"&lt;30",IF(tblbuyers[[#This Row],[Age]]&lt;=45,"30-45",IF(tblbuyers[[#This Row],[Age]]&lt;=60,"46-60","60+")))</f>
        <v>&lt;30</v>
      </c>
      <c r="Q934" t="str">
        <f>IF(tblbuyers[[#This Row],[Income]]&lt;30000,"Low",IF(tblbuyers[[#This Row],[Income]]&lt;=70000,"Medium","High"))</f>
        <v>Medium</v>
      </c>
      <c r="R934" s="7" t="str">
        <f>IF(OR(LOWER(TRIM(tblbuyers[[#This Row],[Purchased Bike]]))="yes",LOWER(TRIM(tblbuyers[[#This Row],[Purchased Bike]]))="y"),"Yes","No")</f>
        <v>Yes</v>
      </c>
    </row>
    <row r="935" spans="1:18"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c r="O935">
        <f>COUNTBLANK(tblbuyers[Income])</f>
        <v>0</v>
      </c>
      <c r="P935" t="str">
        <f>IF(tblbuyers[[#This Row],[Age]]&lt;30,"&lt;30",IF(tblbuyers[[#This Row],[Age]]&lt;=45,"30-45",IF(tblbuyers[[#This Row],[Age]]&lt;=60,"46-60","60+")))</f>
        <v>&lt;30</v>
      </c>
      <c r="Q935" t="str">
        <f>IF(tblbuyers[[#This Row],[Income]]&lt;30000,"Low",IF(tblbuyers[[#This Row],[Income]]&lt;=70000,"Medium","High"))</f>
        <v>Medium</v>
      </c>
      <c r="R935" s="7" t="str">
        <f>IF(OR(LOWER(TRIM(tblbuyers[[#This Row],[Purchased Bike]]))="yes",LOWER(TRIM(tblbuyers[[#This Row],[Purchased Bike]]))="y"),"Yes","No")</f>
        <v>No</v>
      </c>
    </row>
    <row r="936" spans="1:18"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c r="O936">
        <f>COUNTBLANK(tblbuyers[Income])</f>
        <v>0</v>
      </c>
      <c r="P936" t="str">
        <f>IF(tblbuyers[[#This Row],[Age]]&lt;30,"&lt;30",IF(tblbuyers[[#This Row],[Age]]&lt;=45,"30-45",IF(tblbuyers[[#This Row],[Age]]&lt;=60,"46-60","60+")))</f>
        <v>46-60</v>
      </c>
      <c r="Q936" t="str">
        <f>IF(tblbuyers[[#This Row],[Income]]&lt;30000,"Low",IF(tblbuyers[[#This Row],[Income]]&lt;=70000,"Medium","High"))</f>
        <v>Medium</v>
      </c>
      <c r="R936" s="7" t="str">
        <f>IF(OR(LOWER(TRIM(tblbuyers[[#This Row],[Purchased Bike]]))="yes",LOWER(TRIM(tblbuyers[[#This Row],[Purchased Bike]]))="y"),"Yes","No")</f>
        <v>No</v>
      </c>
    </row>
    <row r="937" spans="1:18"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c r="O937">
        <f>COUNTBLANK(tblbuyers[Income])</f>
        <v>0</v>
      </c>
      <c r="P937" t="str">
        <f>IF(tblbuyers[[#This Row],[Age]]&lt;30,"&lt;30",IF(tblbuyers[[#This Row],[Age]]&lt;=45,"30-45",IF(tblbuyers[[#This Row],[Age]]&lt;=60,"46-60","60+")))</f>
        <v>30-45</v>
      </c>
      <c r="Q937" t="str">
        <f>IF(tblbuyers[[#This Row],[Income]]&lt;30000,"Low",IF(tblbuyers[[#This Row],[Income]]&lt;=70000,"Medium","High"))</f>
        <v>Medium</v>
      </c>
      <c r="R937" s="7" t="str">
        <f>IF(OR(LOWER(TRIM(tblbuyers[[#This Row],[Purchased Bike]]))="yes",LOWER(TRIM(tblbuyers[[#This Row],[Purchased Bike]]))="y"),"Yes","No")</f>
        <v>Yes</v>
      </c>
    </row>
    <row r="938" spans="1:18"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c r="O938">
        <f>COUNTBLANK(tblbuyers[Income])</f>
        <v>0</v>
      </c>
      <c r="P938" t="str">
        <f>IF(tblbuyers[[#This Row],[Age]]&lt;30,"&lt;30",IF(tblbuyers[[#This Row],[Age]]&lt;=45,"30-45",IF(tblbuyers[[#This Row],[Age]]&lt;=60,"46-60","60+")))</f>
        <v>46-60</v>
      </c>
      <c r="Q938" t="str">
        <f>IF(tblbuyers[[#This Row],[Income]]&lt;30000,"Low",IF(tblbuyers[[#This Row],[Income]]&lt;=70000,"Medium","High"))</f>
        <v>Medium</v>
      </c>
      <c r="R938" s="7" t="str">
        <f>IF(OR(LOWER(TRIM(tblbuyers[[#This Row],[Purchased Bike]]))="yes",LOWER(TRIM(tblbuyers[[#This Row],[Purchased Bike]]))="y"),"Yes","No")</f>
        <v>No</v>
      </c>
    </row>
    <row r="939" spans="1:18"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c r="O939">
        <f>COUNTBLANK(tblbuyers[Income])</f>
        <v>0</v>
      </c>
      <c r="P939" t="str">
        <f>IF(tblbuyers[[#This Row],[Age]]&lt;30,"&lt;30",IF(tblbuyers[[#This Row],[Age]]&lt;=45,"30-45",IF(tblbuyers[[#This Row],[Age]]&lt;=60,"46-60","60+")))</f>
        <v>30-45</v>
      </c>
      <c r="Q939" t="str">
        <f>IF(tblbuyers[[#This Row],[Income]]&lt;30000,"Low",IF(tblbuyers[[#This Row],[Income]]&lt;=70000,"Medium","High"))</f>
        <v>Medium</v>
      </c>
      <c r="R939" s="7" t="str">
        <f>IF(OR(LOWER(TRIM(tblbuyers[[#This Row],[Purchased Bike]]))="yes",LOWER(TRIM(tblbuyers[[#This Row],[Purchased Bike]]))="y"),"Yes","No")</f>
        <v>Yes</v>
      </c>
    </row>
    <row r="940" spans="1:18"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c r="O940">
        <f>COUNTBLANK(tblbuyers[Income])</f>
        <v>0</v>
      </c>
      <c r="P940" t="str">
        <f>IF(tblbuyers[[#This Row],[Age]]&lt;30,"&lt;30",IF(tblbuyers[[#This Row],[Age]]&lt;=45,"30-45",IF(tblbuyers[[#This Row],[Age]]&lt;=60,"46-60","60+")))</f>
        <v>&lt;30</v>
      </c>
      <c r="Q940" t="str">
        <f>IF(tblbuyers[[#This Row],[Income]]&lt;30000,"Low",IF(tblbuyers[[#This Row],[Income]]&lt;=70000,"Medium","High"))</f>
        <v>Medium</v>
      </c>
      <c r="R940" s="7" t="str">
        <f>IF(OR(LOWER(TRIM(tblbuyers[[#This Row],[Purchased Bike]]))="yes",LOWER(TRIM(tblbuyers[[#This Row],[Purchased Bike]]))="y"),"Yes","No")</f>
        <v>No</v>
      </c>
    </row>
    <row r="941" spans="1:18"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c r="O941">
        <f>COUNTBLANK(tblbuyers[Income])</f>
        <v>0</v>
      </c>
      <c r="P941" t="str">
        <f>IF(tblbuyers[[#This Row],[Age]]&lt;30,"&lt;30",IF(tblbuyers[[#This Row],[Age]]&lt;=45,"30-45",IF(tblbuyers[[#This Row],[Age]]&lt;=60,"46-60","60+")))</f>
        <v>46-60</v>
      </c>
      <c r="Q941" t="str">
        <f>IF(tblbuyers[[#This Row],[Income]]&lt;30000,"Low",IF(tblbuyers[[#This Row],[Income]]&lt;=70000,"Medium","High"))</f>
        <v>High</v>
      </c>
      <c r="R941" s="7" t="str">
        <f>IF(OR(LOWER(TRIM(tblbuyers[[#This Row],[Purchased Bike]]))="yes",LOWER(TRIM(tblbuyers[[#This Row],[Purchased Bike]]))="y"),"Yes","No")</f>
        <v>No</v>
      </c>
    </row>
    <row r="942" spans="1:18"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c r="O942">
        <f>COUNTBLANK(tblbuyers[Income])</f>
        <v>0</v>
      </c>
      <c r="P942" t="str">
        <f>IF(tblbuyers[[#This Row],[Age]]&lt;30,"&lt;30",IF(tblbuyers[[#This Row],[Age]]&lt;=45,"30-45",IF(tblbuyers[[#This Row],[Age]]&lt;=60,"46-60","60+")))</f>
        <v>30-45</v>
      </c>
      <c r="Q942" t="str">
        <f>IF(tblbuyers[[#This Row],[Income]]&lt;30000,"Low",IF(tblbuyers[[#This Row],[Income]]&lt;=70000,"Medium","High"))</f>
        <v>Medium</v>
      </c>
      <c r="R942" s="7" t="str">
        <f>IF(OR(LOWER(TRIM(tblbuyers[[#This Row],[Purchased Bike]]))="yes",LOWER(TRIM(tblbuyers[[#This Row],[Purchased Bike]]))="y"),"Yes","No")</f>
        <v>No</v>
      </c>
    </row>
    <row r="943" spans="1:18"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c r="O943">
        <f>COUNTBLANK(tblbuyers[Income])</f>
        <v>0</v>
      </c>
      <c r="P943" t="str">
        <f>IF(tblbuyers[[#This Row],[Age]]&lt;30,"&lt;30",IF(tblbuyers[[#This Row],[Age]]&lt;=45,"30-45",IF(tblbuyers[[#This Row],[Age]]&lt;=60,"46-60","60+")))</f>
        <v>30-45</v>
      </c>
      <c r="Q943" t="str">
        <f>IF(tblbuyers[[#This Row],[Income]]&lt;30000,"Low",IF(tblbuyers[[#This Row],[Income]]&lt;=70000,"Medium","High"))</f>
        <v>Medium</v>
      </c>
      <c r="R943" s="7" t="str">
        <f>IF(OR(LOWER(TRIM(tblbuyers[[#This Row],[Purchased Bike]]))="yes",LOWER(TRIM(tblbuyers[[#This Row],[Purchased Bike]]))="y"),"Yes","No")</f>
        <v>Yes</v>
      </c>
    </row>
    <row r="944" spans="1:18"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c r="O944">
        <f>COUNTBLANK(tblbuyers[Income])</f>
        <v>0</v>
      </c>
      <c r="P944" t="str">
        <f>IF(tblbuyers[[#This Row],[Age]]&lt;30,"&lt;30",IF(tblbuyers[[#This Row],[Age]]&lt;=45,"30-45",IF(tblbuyers[[#This Row],[Age]]&lt;=60,"46-60","60+")))</f>
        <v>46-60</v>
      </c>
      <c r="Q944" t="str">
        <f>IF(tblbuyers[[#This Row],[Income]]&lt;30000,"Low",IF(tblbuyers[[#This Row],[Income]]&lt;=70000,"Medium","High"))</f>
        <v>Medium</v>
      </c>
      <c r="R944" s="7" t="str">
        <f>IF(OR(LOWER(TRIM(tblbuyers[[#This Row],[Purchased Bike]]))="yes",LOWER(TRIM(tblbuyers[[#This Row],[Purchased Bike]]))="y"),"Yes","No")</f>
        <v>No</v>
      </c>
    </row>
    <row r="945" spans="1:18"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c r="O945">
        <f>COUNTBLANK(tblbuyers[Income])</f>
        <v>0</v>
      </c>
      <c r="P945" t="str">
        <f>IF(tblbuyers[[#This Row],[Age]]&lt;30,"&lt;30",IF(tblbuyers[[#This Row],[Age]]&lt;=45,"30-45",IF(tblbuyers[[#This Row],[Age]]&lt;=60,"46-60","60+")))</f>
        <v>30-45</v>
      </c>
      <c r="Q945" t="str">
        <f>IF(tblbuyers[[#This Row],[Income]]&lt;30000,"Low",IF(tblbuyers[[#This Row],[Income]]&lt;=70000,"Medium","High"))</f>
        <v>Medium</v>
      </c>
      <c r="R945" s="7" t="str">
        <f>IF(OR(LOWER(TRIM(tblbuyers[[#This Row],[Purchased Bike]]))="yes",LOWER(TRIM(tblbuyers[[#This Row],[Purchased Bike]]))="y"),"Yes","No")</f>
        <v>No</v>
      </c>
    </row>
    <row r="946" spans="1:18"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c r="O946">
        <f>COUNTBLANK(tblbuyers[Income])</f>
        <v>0</v>
      </c>
      <c r="P946" t="str">
        <f>IF(tblbuyers[[#This Row],[Age]]&lt;30,"&lt;30",IF(tblbuyers[[#This Row],[Age]]&lt;=45,"30-45",IF(tblbuyers[[#This Row],[Age]]&lt;=60,"46-60","60+")))</f>
        <v>30-45</v>
      </c>
      <c r="Q946" t="str">
        <f>IF(tblbuyers[[#This Row],[Income]]&lt;30000,"Low",IF(tblbuyers[[#This Row],[Income]]&lt;=70000,"Medium","High"))</f>
        <v>Medium</v>
      </c>
      <c r="R946" s="7" t="str">
        <f>IF(OR(LOWER(TRIM(tblbuyers[[#This Row],[Purchased Bike]]))="yes",LOWER(TRIM(tblbuyers[[#This Row],[Purchased Bike]]))="y"),"Yes","No")</f>
        <v>Yes</v>
      </c>
    </row>
    <row r="947" spans="1:18"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c r="O947">
        <f>COUNTBLANK(tblbuyers[Income])</f>
        <v>0</v>
      </c>
      <c r="P947" t="str">
        <f>IF(tblbuyers[[#This Row],[Age]]&lt;30,"&lt;30",IF(tblbuyers[[#This Row],[Age]]&lt;=45,"30-45",IF(tblbuyers[[#This Row],[Age]]&lt;=60,"46-60","60+")))</f>
        <v>30-45</v>
      </c>
      <c r="Q947" t="str">
        <f>IF(tblbuyers[[#This Row],[Income]]&lt;30000,"Low",IF(tblbuyers[[#This Row],[Income]]&lt;=70000,"Medium","High"))</f>
        <v>Medium</v>
      </c>
      <c r="R947" s="7" t="str">
        <f>IF(OR(LOWER(TRIM(tblbuyers[[#This Row],[Purchased Bike]]))="yes",LOWER(TRIM(tblbuyers[[#This Row],[Purchased Bike]]))="y"),"Yes","No")</f>
        <v>Yes</v>
      </c>
    </row>
    <row r="948" spans="1:18"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c r="O948">
        <f>COUNTBLANK(tblbuyers[Income])</f>
        <v>0</v>
      </c>
      <c r="P948" t="str">
        <f>IF(tblbuyers[[#This Row],[Age]]&lt;30,"&lt;30",IF(tblbuyers[[#This Row],[Age]]&lt;=45,"30-45",IF(tblbuyers[[#This Row],[Age]]&lt;=60,"46-60","60+")))</f>
        <v>60+</v>
      </c>
      <c r="Q948" t="str">
        <f>IF(tblbuyers[[#This Row],[Income]]&lt;30000,"Low",IF(tblbuyers[[#This Row],[Income]]&lt;=70000,"Medium","High"))</f>
        <v>High</v>
      </c>
      <c r="R948" s="7" t="str">
        <f>IF(OR(LOWER(TRIM(tblbuyers[[#This Row],[Purchased Bike]]))="yes",LOWER(TRIM(tblbuyers[[#This Row],[Purchased Bike]]))="y"),"Yes","No")</f>
        <v>Yes</v>
      </c>
    </row>
    <row r="949" spans="1:18"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c r="O949">
        <f>COUNTBLANK(tblbuyers[Income])</f>
        <v>0</v>
      </c>
      <c r="P949" t="str">
        <f>IF(tblbuyers[[#This Row],[Age]]&lt;30,"&lt;30",IF(tblbuyers[[#This Row],[Age]]&lt;=45,"30-45",IF(tblbuyers[[#This Row],[Age]]&lt;=60,"46-60","60+")))</f>
        <v>30-45</v>
      </c>
      <c r="Q949" t="str">
        <f>IF(tblbuyers[[#This Row],[Income]]&lt;30000,"Low",IF(tblbuyers[[#This Row],[Income]]&lt;=70000,"Medium","High"))</f>
        <v>High</v>
      </c>
      <c r="R949" s="7" t="str">
        <f>IF(OR(LOWER(TRIM(tblbuyers[[#This Row],[Purchased Bike]]))="yes",LOWER(TRIM(tblbuyers[[#This Row],[Purchased Bike]]))="y"),"Yes","No")</f>
        <v>Yes</v>
      </c>
    </row>
    <row r="950" spans="1:18"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c r="O950">
        <f>COUNTBLANK(tblbuyers[Income])</f>
        <v>0</v>
      </c>
      <c r="P950" t="str">
        <f>IF(tblbuyers[[#This Row],[Age]]&lt;30,"&lt;30",IF(tblbuyers[[#This Row],[Age]]&lt;=45,"30-45",IF(tblbuyers[[#This Row],[Age]]&lt;=60,"46-60","60+")))</f>
        <v>30-45</v>
      </c>
      <c r="Q950" t="str">
        <f>IF(tblbuyers[[#This Row],[Income]]&lt;30000,"Low",IF(tblbuyers[[#This Row],[Income]]&lt;=70000,"Medium","High"))</f>
        <v>Medium</v>
      </c>
      <c r="R950" s="7" t="str">
        <f>IF(OR(LOWER(TRIM(tblbuyers[[#This Row],[Purchased Bike]]))="yes",LOWER(TRIM(tblbuyers[[#This Row],[Purchased Bike]]))="y"),"Yes","No")</f>
        <v>No</v>
      </c>
    </row>
    <row r="951" spans="1:18" x14ac:dyDescent="0.25">
      <c r="A951">
        <v>28056</v>
      </c>
      <c r="B951" t="s">
        <v>36</v>
      </c>
      <c r="C951" t="s">
        <v>39</v>
      </c>
      <c r="D951" s="3">
        <v>70000</v>
      </c>
      <c r="E951">
        <v>2</v>
      </c>
      <c r="F951" t="s">
        <v>29</v>
      </c>
      <c r="G951" t="s">
        <v>14</v>
      </c>
      <c r="H951" t="s">
        <v>15</v>
      </c>
      <c r="I951">
        <v>2</v>
      </c>
      <c r="J951" t="s">
        <v>30</v>
      </c>
      <c r="K951" t="s">
        <v>32</v>
      </c>
      <c r="L951">
        <v>53</v>
      </c>
      <c r="M951" t="str">
        <f t="shared" si="14"/>
        <v>Middle Age</v>
      </c>
      <c r="N951" t="s">
        <v>18</v>
      </c>
      <c r="O951">
        <f>COUNTBLANK(tblbuyers[Income])</f>
        <v>0</v>
      </c>
      <c r="P951" t="str">
        <f>IF(tblbuyers[[#This Row],[Age]]&lt;30,"&lt;30",IF(tblbuyers[[#This Row],[Age]]&lt;=45,"30-45",IF(tblbuyers[[#This Row],[Age]]&lt;=60,"46-60","60+")))</f>
        <v>46-60</v>
      </c>
      <c r="Q951" t="str">
        <f>IF(tblbuyers[[#This Row],[Income]]&lt;30000,"Low",IF(tblbuyers[[#This Row],[Income]]&lt;=70000,"Medium","High"))</f>
        <v>Medium</v>
      </c>
      <c r="R951" s="7" t="str">
        <f>IF(OR(LOWER(TRIM(tblbuyers[[#This Row],[Purchased Bike]]))="yes",LOWER(TRIM(tblbuyers[[#This Row],[Purchased Bike]]))="y"),"Yes","No")</f>
        <v>No</v>
      </c>
    </row>
    <row r="952" spans="1:18"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c r="O952">
        <f>COUNTBLANK(tblbuyers[Income])</f>
        <v>0</v>
      </c>
      <c r="P952" t="str">
        <f>IF(tblbuyers[[#This Row],[Age]]&lt;30,"&lt;30",IF(tblbuyers[[#This Row],[Age]]&lt;=45,"30-45",IF(tblbuyers[[#This Row],[Age]]&lt;=60,"46-60","60+")))</f>
        <v>30-45</v>
      </c>
      <c r="Q952" t="str">
        <f>IF(tblbuyers[[#This Row],[Income]]&lt;30000,"Low",IF(tblbuyers[[#This Row],[Income]]&lt;=70000,"Medium","High"))</f>
        <v>Medium</v>
      </c>
      <c r="R952" s="7" t="str">
        <f>IF(OR(LOWER(TRIM(tblbuyers[[#This Row],[Purchased Bike]]))="yes",LOWER(TRIM(tblbuyers[[#This Row],[Purchased Bike]]))="y"),"Yes","No")</f>
        <v>No</v>
      </c>
    </row>
    <row r="953" spans="1:18"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c r="O953">
        <f>COUNTBLANK(tblbuyers[Income])</f>
        <v>0</v>
      </c>
      <c r="P953" t="str">
        <f>IF(tblbuyers[[#This Row],[Age]]&lt;30,"&lt;30",IF(tblbuyers[[#This Row],[Age]]&lt;=45,"30-45",IF(tblbuyers[[#This Row],[Age]]&lt;=60,"46-60","60+")))</f>
        <v>30-45</v>
      </c>
      <c r="Q953" t="str">
        <f>IF(tblbuyers[[#This Row],[Income]]&lt;30000,"Low",IF(tblbuyers[[#This Row],[Income]]&lt;=70000,"Medium","High"))</f>
        <v>Medium</v>
      </c>
      <c r="R953" s="7" t="str">
        <f>IF(OR(LOWER(TRIM(tblbuyers[[#This Row],[Purchased Bike]]))="yes",LOWER(TRIM(tblbuyers[[#This Row],[Purchased Bike]]))="y"),"Yes","No")</f>
        <v>No</v>
      </c>
    </row>
    <row r="954" spans="1:18"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c r="O954">
        <f>COUNTBLANK(tblbuyers[Income])</f>
        <v>0</v>
      </c>
      <c r="P954" t="str">
        <f>IF(tblbuyers[[#This Row],[Age]]&lt;30,"&lt;30",IF(tblbuyers[[#This Row],[Age]]&lt;=45,"30-45",IF(tblbuyers[[#This Row],[Age]]&lt;=60,"46-60","60+")))</f>
        <v>46-60</v>
      </c>
      <c r="Q954" t="str">
        <f>IF(tblbuyers[[#This Row],[Income]]&lt;30000,"Low",IF(tblbuyers[[#This Row],[Income]]&lt;=70000,"Medium","High"))</f>
        <v>Medium</v>
      </c>
      <c r="R954" s="7" t="str">
        <f>IF(OR(LOWER(TRIM(tblbuyers[[#This Row],[Purchased Bike]]))="yes",LOWER(TRIM(tblbuyers[[#This Row],[Purchased Bike]]))="y"),"Yes","No")</f>
        <v>No</v>
      </c>
    </row>
    <row r="955" spans="1:18"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c r="O955">
        <f>COUNTBLANK(tblbuyers[Income])</f>
        <v>0</v>
      </c>
      <c r="P955" t="str">
        <f>IF(tblbuyers[[#This Row],[Age]]&lt;30,"&lt;30",IF(tblbuyers[[#This Row],[Age]]&lt;=45,"30-45",IF(tblbuyers[[#This Row],[Age]]&lt;=60,"46-60","60+")))</f>
        <v>30-45</v>
      </c>
      <c r="Q955" t="str">
        <f>IF(tblbuyers[[#This Row],[Income]]&lt;30000,"Low",IF(tblbuyers[[#This Row],[Income]]&lt;=70000,"Medium","High"))</f>
        <v>Medium</v>
      </c>
      <c r="R955" s="7" t="str">
        <f>IF(OR(LOWER(TRIM(tblbuyers[[#This Row],[Purchased Bike]]))="yes",LOWER(TRIM(tblbuyers[[#This Row],[Purchased Bike]]))="y"),"Yes","No")</f>
        <v>Yes</v>
      </c>
    </row>
    <row r="956" spans="1:18"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c r="O956">
        <f>COUNTBLANK(tblbuyers[Income])</f>
        <v>0</v>
      </c>
      <c r="P956" t="str">
        <f>IF(tblbuyers[[#This Row],[Age]]&lt;30,"&lt;30",IF(tblbuyers[[#This Row],[Age]]&lt;=45,"30-45",IF(tblbuyers[[#This Row],[Age]]&lt;=60,"46-60","60+")))</f>
        <v>46-60</v>
      </c>
      <c r="Q956" t="str">
        <f>IF(tblbuyers[[#This Row],[Income]]&lt;30000,"Low",IF(tblbuyers[[#This Row],[Income]]&lt;=70000,"Medium","High"))</f>
        <v>Medium</v>
      </c>
      <c r="R956" s="7" t="str">
        <f>IF(OR(LOWER(TRIM(tblbuyers[[#This Row],[Purchased Bike]]))="yes",LOWER(TRIM(tblbuyers[[#This Row],[Purchased Bike]]))="y"),"Yes","No")</f>
        <v>Yes</v>
      </c>
    </row>
    <row r="957" spans="1:18"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c r="O957">
        <f>COUNTBLANK(tblbuyers[Income])</f>
        <v>0</v>
      </c>
      <c r="P957" t="str">
        <f>IF(tblbuyers[[#This Row],[Age]]&lt;30,"&lt;30",IF(tblbuyers[[#This Row],[Age]]&lt;=45,"30-45",IF(tblbuyers[[#This Row],[Age]]&lt;=60,"46-60","60+")))</f>
        <v>30-45</v>
      </c>
      <c r="Q957" t="str">
        <f>IF(tblbuyers[[#This Row],[Income]]&lt;30000,"Low",IF(tblbuyers[[#This Row],[Income]]&lt;=70000,"Medium","High"))</f>
        <v>Medium</v>
      </c>
      <c r="R957" s="7" t="str">
        <f>IF(OR(LOWER(TRIM(tblbuyers[[#This Row],[Purchased Bike]]))="yes",LOWER(TRIM(tblbuyers[[#This Row],[Purchased Bike]]))="y"),"Yes","No")</f>
        <v>No</v>
      </c>
    </row>
    <row r="958" spans="1:18"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c r="O958">
        <f>COUNTBLANK(tblbuyers[Income])</f>
        <v>0</v>
      </c>
      <c r="P958" t="str">
        <f>IF(tblbuyers[[#This Row],[Age]]&lt;30,"&lt;30",IF(tblbuyers[[#This Row],[Age]]&lt;=45,"30-45",IF(tblbuyers[[#This Row],[Age]]&lt;=60,"46-60","60+")))</f>
        <v>30-45</v>
      </c>
      <c r="Q958" t="str">
        <f>IF(tblbuyers[[#This Row],[Income]]&lt;30000,"Low",IF(tblbuyers[[#This Row],[Income]]&lt;=70000,"Medium","High"))</f>
        <v>Medium</v>
      </c>
      <c r="R958" s="7" t="str">
        <f>IF(OR(LOWER(TRIM(tblbuyers[[#This Row],[Purchased Bike]]))="yes",LOWER(TRIM(tblbuyers[[#This Row],[Purchased Bike]]))="y"),"Yes","No")</f>
        <v>Yes</v>
      </c>
    </row>
    <row r="959" spans="1:18"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c r="O959">
        <f>COUNTBLANK(tblbuyers[Income])</f>
        <v>0</v>
      </c>
      <c r="P959" t="str">
        <f>IF(tblbuyers[[#This Row],[Age]]&lt;30,"&lt;30",IF(tblbuyers[[#This Row],[Age]]&lt;=45,"30-45",IF(tblbuyers[[#This Row],[Age]]&lt;=60,"46-60","60+")))</f>
        <v>30-45</v>
      </c>
      <c r="Q959" t="str">
        <f>IF(tblbuyers[[#This Row],[Income]]&lt;30000,"Low",IF(tblbuyers[[#This Row],[Income]]&lt;=70000,"Medium","High"))</f>
        <v>Medium</v>
      </c>
      <c r="R959" s="7" t="str">
        <f>IF(OR(LOWER(TRIM(tblbuyers[[#This Row],[Purchased Bike]]))="yes",LOWER(TRIM(tblbuyers[[#This Row],[Purchased Bike]]))="y"),"Yes","No")</f>
        <v>No</v>
      </c>
    </row>
    <row r="960" spans="1:18"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c r="O960">
        <f>COUNTBLANK(tblbuyers[Income])</f>
        <v>0</v>
      </c>
      <c r="P960" t="str">
        <f>IF(tblbuyers[[#This Row],[Age]]&lt;30,"&lt;30",IF(tblbuyers[[#This Row],[Age]]&lt;=45,"30-45",IF(tblbuyers[[#This Row],[Age]]&lt;=60,"46-60","60+")))</f>
        <v>46-60</v>
      </c>
      <c r="Q960" t="str">
        <f>IF(tblbuyers[[#This Row],[Income]]&lt;30000,"Low",IF(tblbuyers[[#This Row],[Income]]&lt;=70000,"Medium","High"))</f>
        <v>High</v>
      </c>
      <c r="R960" s="7" t="str">
        <f>IF(OR(LOWER(TRIM(tblbuyers[[#This Row],[Purchased Bike]]))="yes",LOWER(TRIM(tblbuyers[[#This Row],[Purchased Bike]]))="y"),"Yes","No")</f>
        <v>Yes</v>
      </c>
    </row>
    <row r="961" spans="1:18"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c r="O961">
        <f>COUNTBLANK(tblbuyers[Income])</f>
        <v>0</v>
      </c>
      <c r="P961" t="str">
        <f>IF(tblbuyers[[#This Row],[Age]]&lt;30,"&lt;30",IF(tblbuyers[[#This Row],[Age]]&lt;=45,"30-45",IF(tblbuyers[[#This Row],[Age]]&lt;=60,"46-60","60+")))</f>
        <v>30-45</v>
      </c>
      <c r="Q961" t="str">
        <f>IF(tblbuyers[[#This Row],[Income]]&lt;30000,"Low",IF(tblbuyers[[#This Row],[Income]]&lt;=70000,"Medium","High"))</f>
        <v>Medium</v>
      </c>
      <c r="R961" s="7" t="str">
        <f>IF(OR(LOWER(TRIM(tblbuyers[[#This Row],[Purchased Bike]]))="yes",LOWER(TRIM(tblbuyers[[#This Row],[Purchased Bike]]))="y"),"Yes","No")</f>
        <v>Yes</v>
      </c>
    </row>
    <row r="962" spans="1:18"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c r="O962">
        <f>COUNTBLANK(tblbuyers[Income])</f>
        <v>0</v>
      </c>
      <c r="P962" t="str">
        <f>IF(tblbuyers[[#This Row],[Age]]&lt;30,"&lt;30",IF(tblbuyers[[#This Row],[Age]]&lt;=45,"30-45",IF(tblbuyers[[#This Row],[Age]]&lt;=60,"46-60","60+")))</f>
        <v>30-45</v>
      </c>
      <c r="Q962" t="str">
        <f>IF(tblbuyers[[#This Row],[Income]]&lt;30000,"Low",IF(tblbuyers[[#This Row],[Income]]&lt;=70000,"Medium","High"))</f>
        <v>High</v>
      </c>
      <c r="R962" s="7" t="str">
        <f>IF(OR(LOWER(TRIM(tblbuyers[[#This Row],[Purchased Bike]]))="yes",LOWER(TRIM(tblbuyers[[#This Row],[Purchased Bike]]))="y"),"Yes","No")</f>
        <v>No</v>
      </c>
    </row>
    <row r="963" spans="1:18"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c r="O963">
        <f>COUNTBLANK(tblbuyers[Income])</f>
        <v>0</v>
      </c>
      <c r="P963" t="str">
        <f>IF(tblbuyers[[#This Row],[Age]]&lt;30,"&lt;30",IF(tblbuyers[[#This Row],[Age]]&lt;=45,"30-45",IF(tblbuyers[[#This Row],[Age]]&lt;=60,"46-60","60+")))</f>
        <v>60+</v>
      </c>
      <c r="Q963" t="str">
        <f>IF(tblbuyers[[#This Row],[Income]]&lt;30000,"Low",IF(tblbuyers[[#This Row],[Income]]&lt;=70000,"Medium","High"))</f>
        <v>High</v>
      </c>
      <c r="R963" s="7" t="str">
        <f>IF(OR(LOWER(TRIM(tblbuyers[[#This Row],[Purchased Bike]]))="yes",LOWER(TRIM(tblbuyers[[#This Row],[Purchased Bike]]))="y"),"Yes","No")</f>
        <v>No</v>
      </c>
    </row>
    <row r="964" spans="1:18"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c r="O964">
        <f>COUNTBLANK(tblbuyers[Income])</f>
        <v>0</v>
      </c>
      <c r="P964" t="str">
        <f>IF(tblbuyers[[#This Row],[Age]]&lt;30,"&lt;30",IF(tblbuyers[[#This Row],[Age]]&lt;=45,"30-45",IF(tblbuyers[[#This Row],[Age]]&lt;=60,"46-60","60+")))</f>
        <v>46-60</v>
      </c>
      <c r="Q964" t="str">
        <f>IF(tblbuyers[[#This Row],[Income]]&lt;30000,"Low",IF(tblbuyers[[#This Row],[Income]]&lt;=70000,"Medium","High"))</f>
        <v>Medium</v>
      </c>
      <c r="R964" s="7" t="str">
        <f>IF(OR(LOWER(TRIM(tblbuyers[[#This Row],[Purchased Bike]]))="yes",LOWER(TRIM(tblbuyers[[#This Row],[Purchased Bike]]))="y"),"Yes","No")</f>
        <v>No</v>
      </c>
    </row>
    <row r="965" spans="1:18"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c r="O965">
        <f>COUNTBLANK(tblbuyers[Income])</f>
        <v>0</v>
      </c>
      <c r="P965" t="str">
        <f>IF(tblbuyers[[#This Row],[Age]]&lt;30,"&lt;30",IF(tblbuyers[[#This Row],[Age]]&lt;=45,"30-45",IF(tblbuyers[[#This Row],[Age]]&lt;=60,"46-60","60+")))</f>
        <v>60+</v>
      </c>
      <c r="Q965" t="str">
        <f>IF(tblbuyers[[#This Row],[Income]]&lt;30000,"Low",IF(tblbuyers[[#This Row],[Income]]&lt;=70000,"Medium","High"))</f>
        <v>High</v>
      </c>
      <c r="R965" s="7" t="str">
        <f>IF(OR(LOWER(TRIM(tblbuyers[[#This Row],[Purchased Bike]]))="yes",LOWER(TRIM(tblbuyers[[#This Row],[Purchased Bike]]))="y"),"Yes","No")</f>
        <v>Yes</v>
      </c>
    </row>
    <row r="966" spans="1:18"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c r="O966">
        <f>COUNTBLANK(tblbuyers[Income])</f>
        <v>0</v>
      </c>
      <c r="P966" t="str">
        <f>IF(tblbuyers[[#This Row],[Age]]&lt;30,"&lt;30",IF(tblbuyers[[#This Row],[Age]]&lt;=45,"30-45",IF(tblbuyers[[#This Row],[Age]]&lt;=60,"46-60","60+")))</f>
        <v>46-60</v>
      </c>
      <c r="Q966" t="str">
        <f>IF(tblbuyers[[#This Row],[Income]]&lt;30000,"Low",IF(tblbuyers[[#This Row],[Income]]&lt;=70000,"Medium","High"))</f>
        <v>Medium</v>
      </c>
      <c r="R966" s="7" t="str">
        <f>IF(OR(LOWER(TRIM(tblbuyers[[#This Row],[Purchased Bike]]))="yes",LOWER(TRIM(tblbuyers[[#This Row],[Purchased Bike]]))="y"),"Yes","No")</f>
        <v>No</v>
      </c>
    </row>
    <row r="967" spans="1:18"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c r="O967">
        <f>COUNTBLANK(tblbuyers[Income])</f>
        <v>0</v>
      </c>
      <c r="P967" t="str">
        <f>IF(tblbuyers[[#This Row],[Age]]&lt;30,"&lt;30",IF(tblbuyers[[#This Row],[Age]]&lt;=45,"30-45",IF(tblbuyers[[#This Row],[Age]]&lt;=60,"46-60","60+")))</f>
        <v>30-45</v>
      </c>
      <c r="Q967" t="str">
        <f>IF(tblbuyers[[#This Row],[Income]]&lt;30000,"Low",IF(tblbuyers[[#This Row],[Income]]&lt;=70000,"Medium","High"))</f>
        <v>Medium</v>
      </c>
      <c r="R967" s="7" t="str">
        <f>IF(OR(LOWER(TRIM(tblbuyers[[#This Row],[Purchased Bike]]))="yes",LOWER(TRIM(tblbuyers[[#This Row],[Purchased Bike]]))="y"),"Yes","No")</f>
        <v>No</v>
      </c>
    </row>
    <row r="968" spans="1:18"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c r="O968">
        <f>COUNTBLANK(tblbuyers[Income])</f>
        <v>0</v>
      </c>
      <c r="P968" t="str">
        <f>IF(tblbuyers[[#This Row],[Age]]&lt;30,"&lt;30",IF(tblbuyers[[#This Row],[Age]]&lt;=45,"30-45",IF(tblbuyers[[#This Row],[Age]]&lt;=60,"46-60","60+")))</f>
        <v>30-45</v>
      </c>
      <c r="Q968" t="str">
        <f>IF(tblbuyers[[#This Row],[Income]]&lt;30000,"Low",IF(tblbuyers[[#This Row],[Income]]&lt;=70000,"Medium","High"))</f>
        <v>Medium</v>
      </c>
      <c r="R968" s="7" t="str">
        <f>IF(OR(LOWER(TRIM(tblbuyers[[#This Row],[Purchased Bike]]))="yes",LOWER(TRIM(tblbuyers[[#This Row],[Purchased Bike]]))="y"),"Yes","No")</f>
        <v>Yes</v>
      </c>
    </row>
    <row r="969" spans="1:18"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c r="O969">
        <f>COUNTBLANK(tblbuyers[Income])</f>
        <v>0</v>
      </c>
      <c r="P969" t="str">
        <f>IF(tblbuyers[[#This Row],[Age]]&lt;30,"&lt;30",IF(tblbuyers[[#This Row],[Age]]&lt;=45,"30-45",IF(tblbuyers[[#This Row],[Age]]&lt;=60,"46-60","60+")))</f>
        <v>46-60</v>
      </c>
      <c r="Q969" t="str">
        <f>IF(tblbuyers[[#This Row],[Income]]&lt;30000,"Low",IF(tblbuyers[[#This Row],[Income]]&lt;=70000,"Medium","High"))</f>
        <v>High</v>
      </c>
      <c r="R969" s="7" t="str">
        <f>IF(OR(LOWER(TRIM(tblbuyers[[#This Row],[Purchased Bike]]))="yes",LOWER(TRIM(tblbuyers[[#This Row],[Purchased Bike]]))="y"),"Yes","No")</f>
        <v>No</v>
      </c>
    </row>
    <row r="970" spans="1:18"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c r="O970">
        <f>COUNTBLANK(tblbuyers[Income])</f>
        <v>0</v>
      </c>
      <c r="P970" t="str">
        <f>IF(tblbuyers[[#This Row],[Age]]&lt;30,"&lt;30",IF(tblbuyers[[#This Row],[Age]]&lt;=45,"30-45",IF(tblbuyers[[#This Row],[Age]]&lt;=60,"46-60","60+")))</f>
        <v>&lt;30</v>
      </c>
      <c r="Q970" t="str">
        <f>IF(tblbuyers[[#This Row],[Income]]&lt;30000,"Low",IF(tblbuyers[[#This Row],[Income]]&lt;=70000,"Medium","High"))</f>
        <v>Medium</v>
      </c>
      <c r="R970" s="7" t="str">
        <f>IF(OR(LOWER(TRIM(tblbuyers[[#This Row],[Purchased Bike]]))="yes",LOWER(TRIM(tblbuyers[[#This Row],[Purchased Bike]]))="y"),"Yes","No")</f>
        <v>No</v>
      </c>
    </row>
    <row r="971" spans="1:18"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c r="O971">
        <f>COUNTBLANK(tblbuyers[Income])</f>
        <v>0</v>
      </c>
      <c r="P971" t="str">
        <f>IF(tblbuyers[[#This Row],[Age]]&lt;30,"&lt;30",IF(tblbuyers[[#This Row],[Age]]&lt;=45,"30-45",IF(tblbuyers[[#This Row],[Age]]&lt;=60,"46-60","60+")))</f>
        <v>30-45</v>
      </c>
      <c r="Q971" t="str">
        <f>IF(tblbuyers[[#This Row],[Income]]&lt;30000,"Low",IF(tblbuyers[[#This Row],[Income]]&lt;=70000,"Medium","High"))</f>
        <v>Medium</v>
      </c>
      <c r="R971" s="7" t="str">
        <f>IF(OR(LOWER(TRIM(tblbuyers[[#This Row],[Purchased Bike]]))="yes",LOWER(TRIM(tblbuyers[[#This Row],[Purchased Bike]]))="y"),"Yes","No")</f>
        <v>No</v>
      </c>
    </row>
    <row r="972" spans="1:18"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c r="O972">
        <f>COUNTBLANK(tblbuyers[Income])</f>
        <v>0</v>
      </c>
      <c r="P972" t="str">
        <f>IF(tblbuyers[[#This Row],[Age]]&lt;30,"&lt;30",IF(tblbuyers[[#This Row],[Age]]&lt;=45,"30-45",IF(tblbuyers[[#This Row],[Age]]&lt;=60,"46-60","60+")))</f>
        <v>30-45</v>
      </c>
      <c r="Q972" t="str">
        <f>IF(tblbuyers[[#This Row],[Income]]&lt;30000,"Low",IF(tblbuyers[[#This Row],[Income]]&lt;=70000,"Medium","High"))</f>
        <v>Medium</v>
      </c>
      <c r="R972" s="7" t="str">
        <f>IF(OR(LOWER(TRIM(tblbuyers[[#This Row],[Purchased Bike]]))="yes",LOWER(TRIM(tblbuyers[[#This Row],[Purchased Bike]]))="y"),"Yes","No")</f>
        <v>No</v>
      </c>
    </row>
    <row r="973" spans="1:18"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c r="O973">
        <f>COUNTBLANK(tblbuyers[Income])</f>
        <v>0</v>
      </c>
      <c r="P973" t="str">
        <f>IF(tblbuyers[[#This Row],[Age]]&lt;30,"&lt;30",IF(tblbuyers[[#This Row],[Age]]&lt;=45,"30-45",IF(tblbuyers[[#This Row],[Age]]&lt;=60,"46-60","60+")))</f>
        <v>46-60</v>
      </c>
      <c r="Q973" t="str">
        <f>IF(tblbuyers[[#This Row],[Income]]&lt;30000,"Low",IF(tblbuyers[[#This Row],[Income]]&lt;=70000,"Medium","High"))</f>
        <v>Medium</v>
      </c>
      <c r="R973" s="7" t="str">
        <f>IF(OR(LOWER(TRIM(tblbuyers[[#This Row],[Purchased Bike]]))="yes",LOWER(TRIM(tblbuyers[[#This Row],[Purchased Bike]]))="y"),"Yes","No")</f>
        <v>No</v>
      </c>
    </row>
    <row r="974" spans="1:18"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c r="O974">
        <f>COUNTBLANK(tblbuyers[Income])</f>
        <v>0</v>
      </c>
      <c r="P974" t="str">
        <f>IF(tblbuyers[[#This Row],[Age]]&lt;30,"&lt;30",IF(tblbuyers[[#This Row],[Age]]&lt;=45,"30-45",IF(tblbuyers[[#This Row],[Age]]&lt;=60,"46-60","60+")))</f>
        <v>46-60</v>
      </c>
      <c r="Q974" t="str">
        <f>IF(tblbuyers[[#This Row],[Income]]&lt;30000,"Low",IF(tblbuyers[[#This Row],[Income]]&lt;=70000,"Medium","High"))</f>
        <v>Medium</v>
      </c>
      <c r="R974" s="7" t="str">
        <f>IF(OR(LOWER(TRIM(tblbuyers[[#This Row],[Purchased Bike]]))="yes",LOWER(TRIM(tblbuyers[[#This Row],[Purchased Bike]]))="y"),"Yes","No")</f>
        <v>No</v>
      </c>
    </row>
    <row r="975" spans="1:18"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c r="O975">
        <f>COUNTBLANK(tblbuyers[Income])</f>
        <v>0</v>
      </c>
      <c r="P975" t="str">
        <f>IF(tblbuyers[[#This Row],[Age]]&lt;30,"&lt;30",IF(tblbuyers[[#This Row],[Age]]&lt;=45,"30-45",IF(tblbuyers[[#This Row],[Age]]&lt;=60,"46-60","60+")))</f>
        <v>46-60</v>
      </c>
      <c r="Q975" t="str">
        <f>IF(tblbuyers[[#This Row],[Income]]&lt;30000,"Low",IF(tblbuyers[[#This Row],[Income]]&lt;=70000,"Medium","High"))</f>
        <v>Medium</v>
      </c>
      <c r="R975" s="7" t="str">
        <f>IF(OR(LOWER(TRIM(tblbuyers[[#This Row],[Purchased Bike]]))="yes",LOWER(TRIM(tblbuyers[[#This Row],[Purchased Bike]]))="y"),"Yes","No")</f>
        <v>No</v>
      </c>
    </row>
    <row r="976" spans="1:18"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c r="O976">
        <f>COUNTBLANK(tblbuyers[Income])</f>
        <v>0</v>
      </c>
      <c r="P976" t="str">
        <f>IF(tblbuyers[[#This Row],[Age]]&lt;30,"&lt;30",IF(tblbuyers[[#This Row],[Age]]&lt;=45,"30-45",IF(tblbuyers[[#This Row],[Age]]&lt;=60,"46-60","60+")))</f>
        <v>46-60</v>
      </c>
      <c r="Q976" t="str">
        <f>IF(tblbuyers[[#This Row],[Income]]&lt;30000,"Low",IF(tblbuyers[[#This Row],[Income]]&lt;=70000,"Medium","High"))</f>
        <v>Medium</v>
      </c>
      <c r="R976" s="7" t="str">
        <f>IF(OR(LOWER(TRIM(tblbuyers[[#This Row],[Purchased Bike]]))="yes",LOWER(TRIM(tblbuyers[[#This Row],[Purchased Bike]]))="y"),"Yes","No")</f>
        <v>Yes</v>
      </c>
    </row>
    <row r="977" spans="1:18"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c r="O977">
        <f>COUNTBLANK(tblbuyers[Income])</f>
        <v>0</v>
      </c>
      <c r="P977" t="str">
        <f>IF(tblbuyers[[#This Row],[Age]]&lt;30,"&lt;30",IF(tblbuyers[[#This Row],[Age]]&lt;=45,"30-45",IF(tblbuyers[[#This Row],[Age]]&lt;=60,"46-60","60+")))</f>
        <v>30-45</v>
      </c>
      <c r="Q977" t="str">
        <f>IF(tblbuyers[[#This Row],[Income]]&lt;30000,"Low",IF(tblbuyers[[#This Row],[Income]]&lt;=70000,"Medium","High"))</f>
        <v>Medium</v>
      </c>
      <c r="R977" s="7" t="str">
        <f>IF(OR(LOWER(TRIM(tblbuyers[[#This Row],[Purchased Bike]]))="yes",LOWER(TRIM(tblbuyers[[#This Row],[Purchased Bike]]))="y"),"Yes","No")</f>
        <v>Yes</v>
      </c>
    </row>
    <row r="978" spans="1:18"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c r="O978">
        <f>COUNTBLANK(tblbuyers[Income])</f>
        <v>0</v>
      </c>
      <c r="P978" t="str">
        <f>IF(tblbuyers[[#This Row],[Age]]&lt;30,"&lt;30",IF(tblbuyers[[#This Row],[Age]]&lt;=45,"30-45",IF(tblbuyers[[#This Row],[Age]]&lt;=60,"46-60","60+")))</f>
        <v>60+</v>
      </c>
      <c r="Q978" t="str">
        <f>IF(tblbuyers[[#This Row],[Income]]&lt;30000,"Low",IF(tblbuyers[[#This Row],[Income]]&lt;=70000,"Medium","High"))</f>
        <v>Medium</v>
      </c>
      <c r="R978" s="7" t="str">
        <f>IF(OR(LOWER(TRIM(tblbuyers[[#This Row],[Purchased Bike]]))="yes",LOWER(TRIM(tblbuyers[[#This Row],[Purchased Bike]]))="y"),"Yes","No")</f>
        <v>No</v>
      </c>
    </row>
    <row r="979" spans="1:18"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c r="O979">
        <f>COUNTBLANK(tblbuyers[Income])</f>
        <v>0</v>
      </c>
      <c r="P979" t="str">
        <f>IF(tblbuyers[[#This Row],[Age]]&lt;30,"&lt;30",IF(tblbuyers[[#This Row],[Age]]&lt;=45,"30-45",IF(tblbuyers[[#This Row],[Age]]&lt;=60,"46-60","60+")))</f>
        <v>60+</v>
      </c>
      <c r="Q979" t="str">
        <f>IF(tblbuyers[[#This Row],[Income]]&lt;30000,"Low",IF(tblbuyers[[#This Row],[Income]]&lt;=70000,"Medium","High"))</f>
        <v>High</v>
      </c>
      <c r="R979" s="7" t="str">
        <f>IF(OR(LOWER(TRIM(tblbuyers[[#This Row],[Purchased Bike]]))="yes",LOWER(TRIM(tblbuyers[[#This Row],[Purchased Bike]]))="y"),"Yes","No")</f>
        <v>No</v>
      </c>
    </row>
    <row r="980" spans="1:18"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c r="O980">
        <f>COUNTBLANK(tblbuyers[Income])</f>
        <v>0</v>
      </c>
      <c r="P980" t="str">
        <f>IF(tblbuyers[[#This Row],[Age]]&lt;30,"&lt;30",IF(tblbuyers[[#This Row],[Age]]&lt;=45,"30-45",IF(tblbuyers[[#This Row],[Age]]&lt;=60,"46-60","60+")))</f>
        <v>30-45</v>
      </c>
      <c r="Q980" t="str">
        <f>IF(tblbuyers[[#This Row],[Income]]&lt;30000,"Low",IF(tblbuyers[[#This Row],[Income]]&lt;=70000,"Medium","High"))</f>
        <v>High</v>
      </c>
      <c r="R980" s="7" t="str">
        <f>IF(OR(LOWER(TRIM(tblbuyers[[#This Row],[Purchased Bike]]))="yes",LOWER(TRIM(tblbuyers[[#This Row],[Purchased Bike]]))="y"),"Yes","No")</f>
        <v>No</v>
      </c>
    </row>
    <row r="981" spans="1:18"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c r="O981">
        <f>COUNTBLANK(tblbuyers[Income])</f>
        <v>0</v>
      </c>
      <c r="P981" t="str">
        <f>IF(tblbuyers[[#This Row],[Age]]&lt;30,"&lt;30",IF(tblbuyers[[#This Row],[Age]]&lt;=45,"30-45",IF(tblbuyers[[#This Row],[Age]]&lt;=60,"46-60","60+")))</f>
        <v>30-45</v>
      </c>
      <c r="Q981" t="str">
        <f>IF(tblbuyers[[#This Row],[Income]]&lt;30000,"Low",IF(tblbuyers[[#This Row],[Income]]&lt;=70000,"Medium","High"))</f>
        <v>Medium</v>
      </c>
      <c r="R981" s="7" t="str">
        <f>IF(OR(LOWER(TRIM(tblbuyers[[#This Row],[Purchased Bike]]))="yes",LOWER(TRIM(tblbuyers[[#This Row],[Purchased Bike]]))="y"),"Yes","No")</f>
        <v>No</v>
      </c>
    </row>
    <row r="982" spans="1:18"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c r="O982">
        <f>COUNTBLANK(tblbuyers[Income])</f>
        <v>0</v>
      </c>
      <c r="P982" t="str">
        <f>IF(tblbuyers[[#This Row],[Age]]&lt;30,"&lt;30",IF(tblbuyers[[#This Row],[Age]]&lt;=45,"30-45",IF(tblbuyers[[#This Row],[Age]]&lt;=60,"46-60","60+")))</f>
        <v>30-45</v>
      </c>
      <c r="Q982" t="str">
        <f>IF(tblbuyers[[#This Row],[Income]]&lt;30000,"Low",IF(tblbuyers[[#This Row],[Income]]&lt;=70000,"Medium","High"))</f>
        <v>High</v>
      </c>
      <c r="R982" s="7" t="str">
        <f>IF(OR(LOWER(TRIM(tblbuyers[[#This Row],[Purchased Bike]]))="yes",LOWER(TRIM(tblbuyers[[#This Row],[Purchased Bike]]))="y"),"Yes","No")</f>
        <v>Yes</v>
      </c>
    </row>
    <row r="983" spans="1:18"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c r="O983">
        <f>COUNTBLANK(tblbuyers[Income])</f>
        <v>0</v>
      </c>
      <c r="P983" t="str">
        <f>IF(tblbuyers[[#This Row],[Age]]&lt;30,"&lt;30",IF(tblbuyers[[#This Row],[Age]]&lt;=45,"30-45",IF(tblbuyers[[#This Row],[Age]]&lt;=60,"46-60","60+")))</f>
        <v>46-60</v>
      </c>
      <c r="Q983" t="str">
        <f>IF(tblbuyers[[#This Row],[Income]]&lt;30000,"Low",IF(tblbuyers[[#This Row],[Income]]&lt;=70000,"Medium","High"))</f>
        <v>High</v>
      </c>
      <c r="R983" s="7" t="str">
        <f>IF(OR(LOWER(TRIM(tblbuyers[[#This Row],[Purchased Bike]]))="yes",LOWER(TRIM(tblbuyers[[#This Row],[Purchased Bike]]))="y"),"Yes","No")</f>
        <v>No</v>
      </c>
    </row>
    <row r="984" spans="1:18"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c r="O984">
        <f>COUNTBLANK(tblbuyers[Income])</f>
        <v>0</v>
      </c>
      <c r="P984" t="str">
        <f>IF(tblbuyers[[#This Row],[Age]]&lt;30,"&lt;30",IF(tblbuyers[[#This Row],[Age]]&lt;=45,"30-45",IF(tblbuyers[[#This Row],[Age]]&lt;=60,"46-60","60+")))</f>
        <v>46-60</v>
      </c>
      <c r="Q984" t="str">
        <f>IF(tblbuyers[[#This Row],[Income]]&lt;30000,"Low",IF(tblbuyers[[#This Row],[Income]]&lt;=70000,"Medium","High"))</f>
        <v>Medium</v>
      </c>
      <c r="R984" s="7" t="str">
        <f>IF(OR(LOWER(TRIM(tblbuyers[[#This Row],[Purchased Bike]]))="yes",LOWER(TRIM(tblbuyers[[#This Row],[Purchased Bike]]))="y"),"Yes","No")</f>
        <v>Yes</v>
      </c>
    </row>
    <row r="985" spans="1:18"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c r="O985">
        <f>COUNTBLANK(tblbuyers[Income])</f>
        <v>0</v>
      </c>
      <c r="P985" t="str">
        <f>IF(tblbuyers[[#This Row],[Age]]&lt;30,"&lt;30",IF(tblbuyers[[#This Row],[Age]]&lt;=45,"30-45",IF(tblbuyers[[#This Row],[Age]]&lt;=60,"46-60","60+")))</f>
        <v>30-45</v>
      </c>
      <c r="Q985" t="str">
        <f>IF(tblbuyers[[#This Row],[Income]]&lt;30000,"Low",IF(tblbuyers[[#This Row],[Income]]&lt;=70000,"Medium","High"))</f>
        <v>High</v>
      </c>
      <c r="R985" s="7" t="str">
        <f>IF(OR(LOWER(TRIM(tblbuyers[[#This Row],[Purchased Bike]]))="yes",LOWER(TRIM(tblbuyers[[#This Row],[Purchased Bike]]))="y"),"Yes","No")</f>
        <v>No</v>
      </c>
    </row>
    <row r="986" spans="1:18"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c r="O986">
        <f>COUNTBLANK(tblbuyers[Income])</f>
        <v>0</v>
      </c>
      <c r="P986" t="str">
        <f>IF(tblbuyers[[#This Row],[Age]]&lt;30,"&lt;30",IF(tblbuyers[[#This Row],[Age]]&lt;=45,"30-45",IF(tblbuyers[[#This Row],[Age]]&lt;=60,"46-60","60+")))</f>
        <v>46-60</v>
      </c>
      <c r="Q986" t="str">
        <f>IF(tblbuyers[[#This Row],[Income]]&lt;30000,"Low",IF(tblbuyers[[#This Row],[Income]]&lt;=70000,"Medium","High"))</f>
        <v>Medium</v>
      </c>
      <c r="R986" s="7" t="str">
        <f>IF(OR(LOWER(TRIM(tblbuyers[[#This Row],[Purchased Bike]]))="yes",LOWER(TRIM(tblbuyers[[#This Row],[Purchased Bike]]))="y"),"Yes","No")</f>
        <v>Yes</v>
      </c>
    </row>
    <row r="987" spans="1:18"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c r="O987">
        <f>COUNTBLANK(tblbuyers[Income])</f>
        <v>0</v>
      </c>
      <c r="P987" t="str">
        <f>IF(tblbuyers[[#This Row],[Age]]&lt;30,"&lt;30",IF(tblbuyers[[#This Row],[Age]]&lt;=45,"30-45",IF(tblbuyers[[#This Row],[Age]]&lt;=60,"46-60","60+")))</f>
        <v>30-45</v>
      </c>
      <c r="Q987" t="str">
        <f>IF(tblbuyers[[#This Row],[Income]]&lt;30000,"Low",IF(tblbuyers[[#This Row],[Income]]&lt;=70000,"Medium","High"))</f>
        <v>Medium</v>
      </c>
      <c r="R987" s="7" t="str">
        <f>IF(OR(LOWER(TRIM(tblbuyers[[#This Row],[Purchased Bike]]))="yes",LOWER(TRIM(tblbuyers[[#This Row],[Purchased Bike]]))="y"),"Yes","No")</f>
        <v>No</v>
      </c>
    </row>
    <row r="988" spans="1:18"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c r="O988">
        <f>COUNTBLANK(tblbuyers[Income])</f>
        <v>0</v>
      </c>
      <c r="P988" t="str">
        <f>IF(tblbuyers[[#This Row],[Age]]&lt;30,"&lt;30",IF(tblbuyers[[#This Row],[Age]]&lt;=45,"30-45",IF(tblbuyers[[#This Row],[Age]]&lt;=60,"46-60","60+")))</f>
        <v>46-60</v>
      </c>
      <c r="Q988" t="str">
        <f>IF(tblbuyers[[#This Row],[Income]]&lt;30000,"Low",IF(tblbuyers[[#This Row],[Income]]&lt;=70000,"Medium","High"))</f>
        <v>Medium</v>
      </c>
      <c r="R988" s="7" t="str">
        <f>IF(OR(LOWER(TRIM(tblbuyers[[#This Row],[Purchased Bike]]))="yes",LOWER(TRIM(tblbuyers[[#This Row],[Purchased Bike]]))="y"),"Yes","No")</f>
        <v>Yes</v>
      </c>
    </row>
    <row r="989" spans="1:18"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c r="O989">
        <f>COUNTBLANK(tblbuyers[Income])</f>
        <v>0</v>
      </c>
      <c r="P989" t="str">
        <f>IF(tblbuyers[[#This Row],[Age]]&lt;30,"&lt;30",IF(tblbuyers[[#This Row],[Age]]&lt;=45,"30-45",IF(tblbuyers[[#This Row],[Age]]&lt;=60,"46-60","60+")))</f>
        <v>60+</v>
      </c>
      <c r="Q989" t="str">
        <f>IF(tblbuyers[[#This Row],[Income]]&lt;30000,"Low",IF(tblbuyers[[#This Row],[Income]]&lt;=70000,"Medium","High"))</f>
        <v>Medium</v>
      </c>
      <c r="R989" s="7" t="str">
        <f>IF(OR(LOWER(TRIM(tblbuyers[[#This Row],[Purchased Bike]]))="yes",LOWER(TRIM(tblbuyers[[#This Row],[Purchased Bike]]))="y"),"Yes","No")</f>
        <v>No</v>
      </c>
    </row>
    <row r="990" spans="1:18"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c r="O990">
        <f>COUNTBLANK(tblbuyers[Income])</f>
        <v>0</v>
      </c>
      <c r="P990" t="str">
        <f>IF(tblbuyers[[#This Row],[Age]]&lt;30,"&lt;30",IF(tblbuyers[[#This Row],[Age]]&lt;=45,"30-45",IF(tblbuyers[[#This Row],[Age]]&lt;=60,"46-60","60+")))</f>
        <v>60+</v>
      </c>
      <c r="Q990" t="str">
        <f>IF(tblbuyers[[#This Row],[Income]]&lt;30000,"Low",IF(tblbuyers[[#This Row],[Income]]&lt;=70000,"Medium","High"))</f>
        <v>Medium</v>
      </c>
      <c r="R990" s="7" t="str">
        <f>IF(OR(LOWER(TRIM(tblbuyers[[#This Row],[Purchased Bike]]))="yes",LOWER(TRIM(tblbuyers[[#This Row],[Purchased Bike]]))="y"),"Yes","No")</f>
        <v>No</v>
      </c>
    </row>
    <row r="991" spans="1:18" x14ac:dyDescent="0.25">
      <c r="A991">
        <v>29134</v>
      </c>
      <c r="B991" t="s">
        <v>36</v>
      </c>
      <c r="C991" t="s">
        <v>39</v>
      </c>
      <c r="D991" s="3">
        <v>60000</v>
      </c>
      <c r="E991">
        <v>4</v>
      </c>
      <c r="F991" t="s">
        <v>13</v>
      </c>
      <c r="G991" t="s">
        <v>14</v>
      </c>
      <c r="H991" t="s">
        <v>18</v>
      </c>
      <c r="I991">
        <v>3</v>
      </c>
      <c r="J991" t="s">
        <v>30</v>
      </c>
      <c r="K991" t="s">
        <v>32</v>
      </c>
      <c r="L991">
        <v>42</v>
      </c>
      <c r="M991" t="str">
        <f t="shared" si="15"/>
        <v>Middle Age</v>
      </c>
      <c r="N991" t="s">
        <v>18</v>
      </c>
      <c r="O991">
        <f>COUNTBLANK(tblbuyers[Income])</f>
        <v>0</v>
      </c>
      <c r="P991" t="str">
        <f>IF(tblbuyers[[#This Row],[Age]]&lt;30,"&lt;30",IF(tblbuyers[[#This Row],[Age]]&lt;=45,"30-45",IF(tblbuyers[[#This Row],[Age]]&lt;=60,"46-60","60+")))</f>
        <v>30-45</v>
      </c>
      <c r="Q991" t="str">
        <f>IF(tblbuyers[[#This Row],[Income]]&lt;30000,"Low",IF(tblbuyers[[#This Row],[Income]]&lt;=70000,"Medium","High"))</f>
        <v>Medium</v>
      </c>
      <c r="R991" s="7" t="str">
        <f>IF(OR(LOWER(TRIM(tblbuyers[[#This Row],[Purchased Bike]]))="yes",LOWER(TRIM(tblbuyers[[#This Row],[Purchased Bike]]))="y"),"Yes","No")</f>
        <v>No</v>
      </c>
    </row>
    <row r="992" spans="1:18"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c r="O992">
        <f>COUNTBLANK(tblbuyers[Income])</f>
        <v>0</v>
      </c>
      <c r="P992" t="str">
        <f>IF(tblbuyers[[#This Row],[Age]]&lt;30,"&lt;30",IF(tblbuyers[[#This Row],[Age]]&lt;=45,"30-45",IF(tblbuyers[[#This Row],[Age]]&lt;=60,"46-60","60+")))</f>
        <v>&lt;30</v>
      </c>
      <c r="Q992" t="str">
        <f>IF(tblbuyers[[#This Row],[Income]]&lt;30000,"Low",IF(tblbuyers[[#This Row],[Income]]&lt;=70000,"Medium","High"))</f>
        <v>Medium</v>
      </c>
      <c r="R992" s="7" t="str">
        <f>IF(OR(LOWER(TRIM(tblbuyers[[#This Row],[Purchased Bike]]))="yes",LOWER(TRIM(tblbuyers[[#This Row],[Purchased Bike]]))="y"),"Yes","No")</f>
        <v>No</v>
      </c>
    </row>
    <row r="993" spans="1:18"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c r="O993">
        <f>COUNTBLANK(tblbuyers[Income])</f>
        <v>0</v>
      </c>
      <c r="P993" t="str">
        <f>IF(tblbuyers[[#This Row],[Age]]&lt;30,"&lt;30",IF(tblbuyers[[#This Row],[Age]]&lt;=45,"30-45",IF(tblbuyers[[#This Row],[Age]]&lt;=60,"46-60","60+")))</f>
        <v>30-45</v>
      </c>
      <c r="Q993" t="str">
        <f>IF(tblbuyers[[#This Row],[Income]]&lt;30000,"Low",IF(tblbuyers[[#This Row],[Income]]&lt;=70000,"Medium","High"))</f>
        <v>Medium</v>
      </c>
      <c r="R993" s="7" t="str">
        <f>IF(OR(LOWER(TRIM(tblbuyers[[#This Row],[Purchased Bike]]))="yes",LOWER(TRIM(tblbuyers[[#This Row],[Purchased Bike]]))="y"),"Yes","No")</f>
        <v>Yes</v>
      </c>
    </row>
    <row r="994" spans="1:18"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c r="O994">
        <f>COUNTBLANK(tblbuyers[Income])</f>
        <v>0</v>
      </c>
      <c r="P994" t="str">
        <f>IF(tblbuyers[[#This Row],[Age]]&lt;30,"&lt;30",IF(tblbuyers[[#This Row],[Age]]&lt;=45,"30-45",IF(tblbuyers[[#This Row],[Age]]&lt;=60,"46-60","60+")))</f>
        <v>46-60</v>
      </c>
      <c r="Q994" t="str">
        <f>IF(tblbuyers[[#This Row],[Income]]&lt;30000,"Low",IF(tblbuyers[[#This Row],[Income]]&lt;=70000,"Medium","High"))</f>
        <v>High</v>
      </c>
      <c r="R994" s="7" t="str">
        <f>IF(OR(LOWER(TRIM(tblbuyers[[#This Row],[Purchased Bike]]))="yes",LOWER(TRIM(tblbuyers[[#This Row],[Purchased Bike]]))="y"),"Yes","No")</f>
        <v>Yes</v>
      </c>
    </row>
    <row r="995" spans="1:18"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c r="O995">
        <f>COUNTBLANK(tblbuyers[Income])</f>
        <v>0</v>
      </c>
      <c r="P995" t="str">
        <f>IF(tblbuyers[[#This Row],[Age]]&lt;30,"&lt;30",IF(tblbuyers[[#This Row],[Age]]&lt;=45,"30-45",IF(tblbuyers[[#This Row],[Age]]&lt;=60,"46-60","60+")))</f>
        <v>30-45</v>
      </c>
      <c r="Q995" t="str">
        <f>IF(tblbuyers[[#This Row],[Income]]&lt;30000,"Low",IF(tblbuyers[[#This Row],[Income]]&lt;=70000,"Medium","High"))</f>
        <v>High</v>
      </c>
      <c r="R995" s="7" t="str">
        <f>IF(OR(LOWER(TRIM(tblbuyers[[#This Row],[Purchased Bike]]))="yes",LOWER(TRIM(tblbuyers[[#This Row],[Purchased Bike]]))="y"),"Yes","No")</f>
        <v>Yes</v>
      </c>
    </row>
    <row r="996" spans="1:18"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c r="O996">
        <f>COUNTBLANK(tblbuyers[Income])</f>
        <v>0</v>
      </c>
      <c r="P996" t="str">
        <f>IF(tblbuyers[[#This Row],[Age]]&lt;30,"&lt;30",IF(tblbuyers[[#This Row],[Age]]&lt;=45,"30-45",IF(tblbuyers[[#This Row],[Age]]&lt;=60,"46-60","60+")))</f>
        <v>46-60</v>
      </c>
      <c r="Q996" t="str">
        <f>IF(tblbuyers[[#This Row],[Income]]&lt;30000,"Low",IF(tblbuyers[[#This Row],[Income]]&lt;=70000,"Medium","High"))</f>
        <v>High</v>
      </c>
      <c r="R996" s="7" t="str">
        <f>IF(OR(LOWER(TRIM(tblbuyers[[#This Row],[Purchased Bike]]))="yes",LOWER(TRIM(tblbuyers[[#This Row],[Purchased Bike]]))="y"),"Yes","No")</f>
        <v>No</v>
      </c>
    </row>
    <row r="997" spans="1:18"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c r="O997">
        <f>COUNTBLANK(tblbuyers[Income])</f>
        <v>0</v>
      </c>
      <c r="P997" t="str">
        <f>IF(tblbuyers[[#This Row],[Age]]&lt;30,"&lt;30",IF(tblbuyers[[#This Row],[Age]]&lt;=45,"30-45",IF(tblbuyers[[#This Row],[Age]]&lt;=60,"46-60","60+")))</f>
        <v>46-60</v>
      </c>
      <c r="Q997" t="str">
        <f>IF(tblbuyers[[#This Row],[Income]]&lt;30000,"Low",IF(tblbuyers[[#This Row],[Income]]&lt;=70000,"Medium","High"))</f>
        <v>Medium</v>
      </c>
      <c r="R997" s="7" t="str">
        <f>IF(OR(LOWER(TRIM(tblbuyers[[#This Row],[Purchased Bike]]))="yes",LOWER(TRIM(tblbuyers[[#This Row],[Purchased Bike]]))="y"),"Yes","No")</f>
        <v>Yes</v>
      </c>
    </row>
    <row r="998" spans="1:18"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c r="O998">
        <f>COUNTBLANK(tblbuyers[Income])</f>
        <v>0</v>
      </c>
      <c r="P998" t="str">
        <f>IF(tblbuyers[[#This Row],[Age]]&lt;30,"&lt;30",IF(tblbuyers[[#This Row],[Age]]&lt;=45,"30-45",IF(tblbuyers[[#This Row],[Age]]&lt;=60,"46-60","60+")))</f>
        <v>30-45</v>
      </c>
      <c r="Q998" t="str">
        <f>IF(tblbuyers[[#This Row],[Income]]&lt;30000,"Low",IF(tblbuyers[[#This Row],[Income]]&lt;=70000,"Medium","High"))</f>
        <v>Medium</v>
      </c>
      <c r="R998" s="7" t="str">
        <f>IF(OR(LOWER(TRIM(tblbuyers[[#This Row],[Purchased Bike]]))="yes",LOWER(TRIM(tblbuyers[[#This Row],[Purchased Bike]]))="y"),"Yes","No")</f>
        <v>Yes</v>
      </c>
    </row>
    <row r="999" spans="1:18"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c r="O999">
        <f>COUNTBLANK(tblbuyers[Income])</f>
        <v>0</v>
      </c>
      <c r="P999" t="str">
        <f>IF(tblbuyers[[#This Row],[Age]]&lt;30,"&lt;30",IF(tblbuyers[[#This Row],[Age]]&lt;=45,"30-45",IF(tblbuyers[[#This Row],[Age]]&lt;=60,"46-60","60+")))</f>
        <v>30-45</v>
      </c>
      <c r="Q999" t="str">
        <f>IF(tblbuyers[[#This Row],[Income]]&lt;30000,"Low",IF(tblbuyers[[#This Row],[Income]]&lt;=70000,"Medium","High"))</f>
        <v>Medium</v>
      </c>
      <c r="R999" s="7" t="str">
        <f>IF(OR(LOWER(TRIM(tblbuyers[[#This Row],[Purchased Bike]]))="yes",LOWER(TRIM(tblbuyers[[#This Row],[Purchased Bike]]))="y"),"Yes","No")</f>
        <v>Yes</v>
      </c>
    </row>
    <row r="1000" spans="1:18"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c r="O1000">
        <f>COUNTBLANK(tblbuyers[Income])</f>
        <v>0</v>
      </c>
      <c r="P1000" t="str">
        <f>IF(tblbuyers[[#This Row],[Age]]&lt;30,"&lt;30",IF(tblbuyers[[#This Row],[Age]]&lt;=45,"30-45",IF(tblbuyers[[#This Row],[Age]]&lt;=60,"46-60","60+")))</f>
        <v>30-45</v>
      </c>
      <c r="Q1000" t="str">
        <f>IF(tblbuyers[[#This Row],[Income]]&lt;30000,"Low",IF(tblbuyers[[#This Row],[Income]]&lt;=70000,"Medium","High"))</f>
        <v>High</v>
      </c>
      <c r="R1000" s="7" t="str">
        <f>IF(OR(LOWER(TRIM(tblbuyers[[#This Row],[Purchased Bike]]))="yes",LOWER(TRIM(tblbuyers[[#This Row],[Purchased Bike]]))="y"),"Yes","No")</f>
        <v>No</v>
      </c>
    </row>
    <row r="1001" spans="1:18" x14ac:dyDescent="0.25">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c r="O1001">
        <f>COUNTBLANK(tblbuyers[Income])</f>
        <v>0</v>
      </c>
      <c r="P1001" t="str">
        <f>IF(tblbuyers[[#This Row],[Age]]&lt;30,"&lt;30",IF(tblbuyers[[#This Row],[Age]]&lt;=45,"30-45",IF(tblbuyers[[#This Row],[Age]]&lt;=60,"46-60","60+")))</f>
        <v>46-60</v>
      </c>
      <c r="Q1001" t="str">
        <f>IF(tblbuyers[[#This Row],[Income]]&lt;30000,"Low",IF(tblbuyers[[#This Row],[Income]]&lt;=70000,"Medium","High"))</f>
        <v>Medium</v>
      </c>
      <c r="R1001" s="7" t="str">
        <f>IF(OR(LOWER(TRIM(tblbuyers[[#This Row],[Purchased Bike]]))="yes",LOWER(TRIM(tblbuyers[[#This Row],[Purchased Bike]]))="y"),"Yes","No")</f>
        <v>Yes</v>
      </c>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1" sqref="B1"/>
    </sheetView>
  </sheetViews>
  <sheetFormatPr defaultRowHeight="15" x14ac:dyDescent="0.25"/>
  <cols>
    <col min="1" max="1" width="15.28515625" customWidth="1"/>
  </cols>
  <sheetData>
    <row r="1" spans="1:2" x14ac:dyDescent="0.25">
      <c r="A1" t="s">
        <v>48</v>
      </c>
      <c r="B1">
        <f>ROWS(tblbuyers[])</f>
        <v>1000</v>
      </c>
    </row>
    <row r="3" spans="1:2" x14ac:dyDescent="0.25">
      <c r="A3" t="s">
        <v>49</v>
      </c>
      <c r="B3">
        <f>COUNTIFS(tblbuyers[Flag purchased],"Yes")</f>
        <v>481</v>
      </c>
    </row>
    <row r="5" spans="1:2" x14ac:dyDescent="0.25">
      <c r="A5" t="s">
        <v>50</v>
      </c>
      <c r="B5">
        <f>COUNTIFS(tblbuyers[Flag purchased],"Yes")/ROWS(tblbuyers[])</f>
        <v>0.48099999999999998</v>
      </c>
    </row>
    <row r="7" spans="1:2" x14ac:dyDescent="0.25">
      <c r="A7" t="s">
        <v>51</v>
      </c>
      <c r="B7">
        <f>AVERAGE(tblbuyers[Income])</f>
        <v>56360</v>
      </c>
    </row>
    <row r="9" spans="1:2" x14ac:dyDescent="0.25">
      <c r="A9" t="s">
        <v>52</v>
      </c>
      <c r="B9">
        <f>AVERAGE(tblbuyers[Age])</f>
        <v>44.162999999999997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opLeftCell="A7" workbookViewId="0">
      <selection activeCell="A22" sqref="A22"/>
    </sheetView>
  </sheetViews>
  <sheetFormatPr defaultRowHeight="15" x14ac:dyDescent="0.25"/>
  <cols>
    <col min="1" max="1" width="22.5703125" customWidth="1"/>
    <col min="2" max="2" width="16.28515625" customWidth="1"/>
    <col min="3" max="3" width="12.85546875" customWidth="1"/>
    <col min="4" max="4" width="7.7109375" customWidth="1"/>
    <col min="5" max="5" width="12" bestFit="1" customWidth="1"/>
    <col min="6" max="6" width="14.28515625" bestFit="1" customWidth="1"/>
    <col min="7" max="7" width="11.28515625" bestFit="1" customWidth="1"/>
  </cols>
  <sheetData>
    <row r="1" spans="1:4" x14ac:dyDescent="0.25">
      <c r="A1" s="8" t="s">
        <v>54</v>
      </c>
      <c r="B1" s="8" t="s">
        <v>53</v>
      </c>
    </row>
    <row r="2" spans="1:4" x14ac:dyDescent="0.25">
      <c r="A2" s="8" t="s">
        <v>46</v>
      </c>
      <c r="B2" t="s">
        <v>38</v>
      </c>
      <c r="C2" t="s">
        <v>39</v>
      </c>
      <c r="D2" t="s">
        <v>47</v>
      </c>
    </row>
    <row r="3" spans="1:4" x14ac:dyDescent="0.25">
      <c r="A3" s="9" t="s">
        <v>17</v>
      </c>
      <c r="B3" s="7">
        <v>164</v>
      </c>
      <c r="C3" s="7">
        <v>136</v>
      </c>
      <c r="D3" s="7">
        <v>300</v>
      </c>
    </row>
    <row r="4" spans="1:4" x14ac:dyDescent="0.25">
      <c r="A4" s="9" t="s">
        <v>32</v>
      </c>
      <c r="B4" s="7">
        <v>239</v>
      </c>
      <c r="C4" s="7">
        <v>269</v>
      </c>
      <c r="D4" s="7">
        <v>508</v>
      </c>
    </row>
    <row r="5" spans="1:4" x14ac:dyDescent="0.25">
      <c r="A5" s="9" t="s">
        <v>24</v>
      </c>
      <c r="B5" s="7">
        <v>86</v>
      </c>
      <c r="C5" s="7">
        <v>106</v>
      </c>
      <c r="D5" s="7">
        <v>192</v>
      </c>
    </row>
    <row r="6" spans="1:4" x14ac:dyDescent="0.25">
      <c r="A6" s="9" t="s">
        <v>47</v>
      </c>
      <c r="B6" s="7">
        <v>489</v>
      </c>
      <c r="C6" s="7">
        <v>511</v>
      </c>
      <c r="D6" s="7">
        <v>1000</v>
      </c>
    </row>
    <row r="9" spans="1:4" x14ac:dyDescent="0.25">
      <c r="A9" s="8" t="s">
        <v>46</v>
      </c>
      <c r="B9" t="s">
        <v>54</v>
      </c>
    </row>
    <row r="10" spans="1:4" x14ac:dyDescent="0.25">
      <c r="A10" s="9" t="s">
        <v>55</v>
      </c>
      <c r="B10" s="7">
        <v>83</v>
      </c>
    </row>
    <row r="11" spans="1:4" x14ac:dyDescent="0.25">
      <c r="A11" s="9" t="s">
        <v>56</v>
      </c>
      <c r="B11" s="7">
        <v>499</v>
      </c>
    </row>
    <row r="12" spans="1:4" x14ac:dyDescent="0.25">
      <c r="A12" s="9" t="s">
        <v>57</v>
      </c>
      <c r="B12" s="7">
        <v>318</v>
      </c>
    </row>
    <row r="13" spans="1:4" x14ac:dyDescent="0.25">
      <c r="A13" s="9" t="s">
        <v>58</v>
      </c>
      <c r="B13" s="7">
        <v>100</v>
      </c>
    </row>
    <row r="14" spans="1:4" x14ac:dyDescent="0.25">
      <c r="A14" s="9" t="s">
        <v>47</v>
      </c>
      <c r="B14" s="7">
        <v>1000</v>
      </c>
    </row>
    <row r="21" spans="1:7" x14ac:dyDescent="0.25">
      <c r="A21" s="8" t="s">
        <v>54</v>
      </c>
      <c r="B21" s="8" t="s">
        <v>53</v>
      </c>
    </row>
    <row r="22" spans="1:7" x14ac:dyDescent="0.25">
      <c r="A22" s="8" t="s">
        <v>46</v>
      </c>
      <c r="B22" t="s">
        <v>20</v>
      </c>
      <c r="C22" t="s">
        <v>28</v>
      </c>
      <c r="D22" t="s">
        <v>25</v>
      </c>
      <c r="E22" t="s">
        <v>21</v>
      </c>
      <c r="F22" t="s">
        <v>14</v>
      </c>
      <c r="G22" t="s">
        <v>47</v>
      </c>
    </row>
    <row r="23" spans="1:7" x14ac:dyDescent="0.25">
      <c r="A23" s="9" t="s">
        <v>59</v>
      </c>
      <c r="B23" s="7"/>
      <c r="C23" s="7">
        <v>106</v>
      </c>
      <c r="D23" s="7">
        <v>2</v>
      </c>
      <c r="E23" s="7">
        <v>100</v>
      </c>
      <c r="F23" s="7">
        <v>27</v>
      </c>
      <c r="G23" s="7">
        <v>235</v>
      </c>
    </row>
    <row r="24" spans="1:7" x14ac:dyDescent="0.25">
      <c r="A24" s="9" t="s">
        <v>60</v>
      </c>
      <c r="B24" s="7">
        <v>32</v>
      </c>
      <c r="C24" s="7"/>
      <c r="D24" s="7">
        <v>108</v>
      </c>
      <c r="E24" s="7"/>
      <c r="F24" s="7">
        <v>7</v>
      </c>
      <c r="G24" s="7">
        <v>147</v>
      </c>
    </row>
    <row r="25" spans="1:7" x14ac:dyDescent="0.25">
      <c r="A25" s="9" t="s">
        <v>61</v>
      </c>
      <c r="B25" s="7">
        <v>145</v>
      </c>
      <c r="C25" s="7">
        <v>67</v>
      </c>
      <c r="D25" s="7">
        <v>9</v>
      </c>
      <c r="E25" s="7">
        <v>176</v>
      </c>
      <c r="F25" s="7">
        <v>221</v>
      </c>
      <c r="G25" s="7">
        <v>618</v>
      </c>
    </row>
    <row r="26" spans="1:7" x14ac:dyDescent="0.25">
      <c r="A26" s="9" t="s">
        <v>47</v>
      </c>
      <c r="B26" s="7">
        <v>177</v>
      </c>
      <c r="C26" s="7">
        <v>173</v>
      </c>
      <c r="D26" s="7">
        <v>119</v>
      </c>
      <c r="E26" s="7">
        <v>276</v>
      </c>
      <c r="F26" s="7">
        <v>255</v>
      </c>
      <c r="G26" s="7">
        <v>1000</v>
      </c>
    </row>
  </sheetData>
  <conditionalFormatting sqref="A20:G28">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31:T36"/>
  <sheetViews>
    <sheetView tabSelected="1" topLeftCell="C15" zoomScale="83" workbookViewId="0">
      <selection activeCell="I33" sqref="I33"/>
    </sheetView>
  </sheetViews>
  <sheetFormatPr defaultRowHeight="15" x14ac:dyDescent="0.25"/>
  <cols>
    <col min="8" max="8" width="9.140625" customWidth="1"/>
    <col min="10" max="10" width="10.42578125" customWidth="1"/>
  </cols>
  <sheetData>
    <row r="31" spans="14:20" x14ac:dyDescent="0.25">
      <c r="N31" s="8" t="s">
        <v>54</v>
      </c>
      <c r="O31" s="8" t="s">
        <v>53</v>
      </c>
    </row>
    <row r="32" spans="14:20" x14ac:dyDescent="0.25">
      <c r="N32" s="8" t="s">
        <v>46</v>
      </c>
      <c r="O32" t="s">
        <v>20</v>
      </c>
      <c r="P32" t="s">
        <v>28</v>
      </c>
      <c r="Q32" t="s">
        <v>25</v>
      </c>
      <c r="R32" t="s">
        <v>21</v>
      </c>
      <c r="S32" t="s">
        <v>14</v>
      </c>
      <c r="T32" t="s">
        <v>47</v>
      </c>
    </row>
    <row r="33" spans="14:20" x14ac:dyDescent="0.25">
      <c r="N33" s="9" t="s">
        <v>59</v>
      </c>
      <c r="O33" s="7"/>
      <c r="P33" s="7">
        <v>106</v>
      </c>
      <c r="Q33" s="7">
        <v>2</v>
      </c>
      <c r="R33" s="7">
        <v>100</v>
      </c>
      <c r="S33" s="7">
        <v>27</v>
      </c>
      <c r="T33" s="7">
        <v>235</v>
      </c>
    </row>
    <row r="34" spans="14:20" x14ac:dyDescent="0.25">
      <c r="N34" s="9" t="s">
        <v>60</v>
      </c>
      <c r="O34" s="7">
        <v>32</v>
      </c>
      <c r="P34" s="7"/>
      <c r="Q34" s="7">
        <v>108</v>
      </c>
      <c r="R34" s="7"/>
      <c r="S34" s="7">
        <v>7</v>
      </c>
      <c r="T34" s="7">
        <v>147</v>
      </c>
    </row>
    <row r="35" spans="14:20" x14ac:dyDescent="0.25">
      <c r="N35" s="9" t="s">
        <v>61</v>
      </c>
      <c r="O35" s="7">
        <v>145</v>
      </c>
      <c r="P35" s="7">
        <v>67</v>
      </c>
      <c r="Q35" s="7">
        <v>9</v>
      </c>
      <c r="R35" s="7">
        <v>176</v>
      </c>
      <c r="S35" s="7">
        <v>221</v>
      </c>
      <c r="T35" s="7">
        <v>618</v>
      </c>
    </row>
    <row r="36" spans="14:20" x14ac:dyDescent="0.25">
      <c r="N36" s="9" t="s">
        <v>47</v>
      </c>
      <c r="O36" s="7">
        <v>177</v>
      </c>
      <c r="P36" s="7">
        <v>173</v>
      </c>
      <c r="Q36" s="7">
        <v>119</v>
      </c>
      <c r="R36" s="7">
        <v>276</v>
      </c>
      <c r="S36" s="7">
        <v>255</v>
      </c>
      <c r="T36" s="7">
        <v>1000</v>
      </c>
    </row>
  </sheetData>
  <conditionalFormatting sqref="N31:T3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Metrics</vt:lpstr>
      <vt:lpstr>pivot tables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Asim</dc:creator>
  <cp:lastModifiedBy>admin</cp:lastModifiedBy>
  <dcterms:created xsi:type="dcterms:W3CDTF">2022-03-18T02:50:57Z</dcterms:created>
  <dcterms:modified xsi:type="dcterms:W3CDTF">2025-09-23T11:19:34Z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